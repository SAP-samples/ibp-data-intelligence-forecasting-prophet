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5.bin" ContentType="application/vnd.openxmlformats-officedocument.spreadsheetml.customProperty"/>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activeX/activeX1.xml" ContentType="application/vnd.ms-office.activeX+xml"/>
  <Override PartName="/xl/activeX/activeX5.xml" ContentType="application/vnd.ms-office.activeX+xml"/>
  <Override PartName="/xl/activeX/activeX4.xml" ContentType="application/vnd.ms-office.activeX+xml"/>
  <Override PartName="/xl/activeX/activeX3.xml" ContentType="application/vnd.ms-office.activeX+xml"/>
  <Override PartName="/xl/activeX/activeX2.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19.xml" ContentType="application/vnd.ms-office.activeX+xml"/>
  <Override PartName="/xl/activeX/activeX20.xml" ContentType="application/vnd.ms-office.activeX+xml"/>
  <Override PartName="/xl/activeX/activeX18.xml" ContentType="application/vnd.ms-office.activeX+xml"/>
  <Override PartName="/xl/activeX/activeX17.xml" ContentType="application/vnd.ms-office.activeX+xml"/>
  <Override PartName="/xl/activeX/activeX16.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activeX/activeX33.xml" ContentType="application/vnd.ms-office.activeX+xml"/>
  <Override PartName="/xl/activeX/activeX34.xml" ContentType="application/vnd.ms-office.activeX+xml"/>
  <Override PartName="/xl/activeX/activeX35.xml" ContentType="application/vnd.ms-office.activeX+xml"/>
  <Override PartName="/xl/activeX/activeX36.xml" ContentType="application/vnd.ms-office.activeX+xml"/>
  <Override PartName="/xl/activeX/activeX15.xml" ContentType="application/vnd.ms-office.activeX+xml"/>
  <Override PartName="/xl/activeX/activeX14.xml" ContentType="application/vnd.ms-office.activeX+xml"/>
  <Override PartName="/xl/activeX/activeX13.xml" ContentType="application/vnd.ms-office.activeX+xml"/>
  <Override PartName="/xl/activeX/activeX12.xml" ContentType="application/vnd.ms-office.activeX+xml"/>
  <Override PartName="/xl/activeX/activeX11.xml" ContentType="application/vnd.ms-office.activeX+xml"/>
  <Override PartName="/xl/activeX/activeX10.xml" ContentType="application/vnd.ms-office.activeX+xml"/>
  <Override PartName="/xl/activeX/activeX9.xml" ContentType="application/vnd.ms-office.activeX+xml"/>
  <Override PartName="/xl/activeX/activeX8.xml" ContentType="application/vnd.ms-office.activeX+xml"/>
  <Override PartName="/xl/activeX/activeX7.xml" ContentType="application/vnd.ms-office.activeX+xml"/>
  <Override PartName="/xl/activeX/activeX6.xml" ContentType="application/vnd.ms-office.activeX+xml"/>
  <Override PartName="/xl/activeX/activeX67.xml" ContentType="application/vnd.ms-office.activeX+xml"/>
  <Override PartName="/xl/activeX/activeX66.xml" ContentType="application/vnd.ms-office.activeX+xml"/>
  <Override PartName="/xl/activeX/activeX65.xml" ContentType="application/vnd.ms-office.activeX+xml"/>
  <Override PartName="/xl/activeX/activeX64.xml" ContentType="application/vnd.ms-office.activeX+xml"/>
  <Override PartName="/xl/activeX/activeX63.xml" ContentType="application/vnd.ms-office.activeX+xml"/>
  <Override PartName="/xl/activeX/activeX62.xml" ContentType="application/vnd.ms-office.activeX+xml"/>
  <Override PartName="/xl/activeX/activeX61.xml" ContentType="application/vnd.ms-office.activeX+xml"/>
  <Override PartName="/xl/activeX/activeX60.xml" ContentType="application/vnd.ms-office.activeX+xml"/>
  <Override PartName="/xl/activeX/activeX59.xml" ContentType="application/vnd.ms-office.activeX+xml"/>
  <Override PartName="/xl/activeX/activeX58.xml" ContentType="application/vnd.ms-office.activeX+xml"/>
  <Override PartName="/xl/activeX/activeX57.xml" ContentType="application/vnd.ms-office.activeX+xml"/>
  <Override PartName="/xl/activeX/activeX56.xml" ContentType="application/vnd.ms-office.activeX+xml"/>
  <Override PartName="/xl/activeX/activeX55.xml" ContentType="application/vnd.ms-office.activeX+xml"/>
  <Override PartName="/xl/activeX/activeX54.xml" ContentType="application/vnd.ms-office.activeX+xml"/>
  <Override PartName="/xl/activeX/activeX53.xml" ContentType="application/vnd.ms-office.activeX+xml"/>
  <Override PartName="/xl/activeX/activeX52.xml" ContentType="application/vnd.ms-office.activeX+xml"/>
  <Override PartName="/xl/activeX/activeX51.xml" ContentType="application/vnd.ms-office.activeX+xml"/>
  <Override PartName="/xl/activeX/activeX50.xml" ContentType="application/vnd.ms-office.activeX+xml"/>
  <Override PartName="/xl/activeX/activeX49.xml" ContentType="application/vnd.ms-office.activeX+xml"/>
  <Override PartName="/xl/activeX/activeX48.xml" ContentType="application/vnd.ms-office.activeX+xml"/>
  <Override PartName="/xl/activeX/activeX47.xml" ContentType="application/vnd.ms-office.activeX+xml"/>
  <Override PartName="/xl/activeX/activeX46.xml" ContentType="application/vnd.ms-office.activeX+xml"/>
  <Override PartName="/xl/activeX/activeX45.xml" ContentType="application/vnd.ms-office.activeX+xml"/>
  <Override PartName="/xl/activeX/activeX44.xml" ContentType="application/vnd.ms-office.activeX+xml"/>
  <Override PartName="/xl/activeX/activeX43.xml" ContentType="application/vnd.ms-office.activeX+xml"/>
  <Override PartName="/xl/activeX/activeX42.xml" ContentType="application/vnd.ms-office.activeX+xml"/>
  <Override PartName="/xl/activeX/activeX41.xml" ContentType="application/vnd.ms-office.activeX+xml"/>
  <Override PartName="/xl/activeX/activeX40.xml" ContentType="application/vnd.ms-office.activeX+xml"/>
  <Override PartName="/xl/activeX/activeX39.xml" ContentType="application/vnd.ms-office.activeX+xml"/>
  <Override PartName="/xl/activeX/activeX38.xml" ContentType="application/vnd.ms-office.activeX+xml"/>
  <Override PartName="/xl/activeX/activeX37.xml" ContentType="application/vnd.ms-office.activeX+xml"/>
  <Override PartName="/xl/activeX/activeX1.bin" ContentType="application/vnd.ms-office.activeX"/>
  <Override PartName="/xl/activeX/activeX5.bin" ContentType="application/vnd.ms-office.activeX"/>
  <Override PartName="/xl/activeX/activeX4.bin" ContentType="application/vnd.ms-office.activeX"/>
  <Override PartName="/xl/activeX/activeX3.bin" ContentType="application/vnd.ms-office.activeX"/>
  <Override PartName="/xl/activeX/activeX2.bin" ContentType="application/vnd.ms-office.activeX"/>
  <Override PartName="/xl/activeX/activeX21.bin" ContentType="application/vnd.ms-office.activeX"/>
  <Override PartName="/xl/activeX/activeX22.bin" ContentType="application/vnd.ms-office.activeX"/>
  <Override PartName="/xl/activeX/activeX23.bin" ContentType="application/vnd.ms-office.activeX"/>
  <Override PartName="/xl/activeX/activeX24.bin" ContentType="application/vnd.ms-office.activeX"/>
  <Override PartName="/xl/activeX/activeX25.bin" ContentType="application/vnd.ms-office.activeX"/>
  <Override PartName="/xl/activeX/activeX26.bin" ContentType="application/vnd.ms-office.activeX"/>
  <Override PartName="/xl/activeX/activeX27.bin" ContentType="application/vnd.ms-office.activeX"/>
  <Override PartName="/xl/activeX/activeX28.bin" ContentType="application/vnd.ms-office.activeX"/>
  <Override PartName="/xl/activeX/activeX29.bin" ContentType="application/vnd.ms-office.activeX"/>
  <Override PartName="/xl/activeX/activeX19.bin" ContentType="application/vnd.ms-office.activeX"/>
  <Override PartName="/xl/activeX/activeX20.bin" ContentType="application/vnd.ms-office.activeX"/>
  <Override PartName="/xl/activeX/activeX18.bin" ContentType="application/vnd.ms-office.activeX"/>
  <Override PartName="/xl/activeX/activeX17.bin" ContentType="application/vnd.ms-office.activeX"/>
  <Override PartName="/xl/activeX/activeX16.bin" ContentType="application/vnd.ms-office.activeX"/>
  <Override PartName="/xl/activeX/activeX30.bin" ContentType="application/vnd.ms-office.activeX"/>
  <Override PartName="/xl/activeX/activeX31.bin" ContentType="application/vnd.ms-office.activeX"/>
  <Override PartName="/xl/activeX/activeX32.bin" ContentType="application/vnd.ms-office.activeX"/>
  <Override PartName="/xl/activeX/activeX33.bin" ContentType="application/vnd.ms-office.activeX"/>
  <Override PartName="/xl/activeX/activeX34.bin" ContentType="application/vnd.ms-office.activeX"/>
  <Override PartName="/xl/activeX/activeX35.bin" ContentType="application/vnd.ms-office.activeX"/>
  <Override PartName="/xl/activeX/activeX36.bin" ContentType="application/vnd.ms-office.activeX"/>
  <Override PartName="/xl/activeX/activeX15.bin" ContentType="application/vnd.ms-office.activeX"/>
  <Override PartName="/xl/activeX/activeX14.bin" ContentType="application/vnd.ms-office.activeX"/>
  <Override PartName="/xl/activeX/activeX13.bin" ContentType="application/vnd.ms-office.activeX"/>
  <Override PartName="/xl/activeX/activeX12.bin" ContentType="application/vnd.ms-office.activeX"/>
  <Override PartName="/xl/activeX/activeX11.bin" ContentType="application/vnd.ms-office.activeX"/>
  <Override PartName="/xl/activeX/activeX10.bin" ContentType="application/vnd.ms-office.activeX"/>
  <Override PartName="/xl/activeX/activeX9.bin" ContentType="application/vnd.ms-office.activeX"/>
  <Override PartName="/xl/activeX/activeX8.bin" ContentType="application/vnd.ms-office.activeX"/>
  <Override PartName="/xl/activeX/activeX7.bin" ContentType="application/vnd.ms-office.activeX"/>
  <Override PartName="/xl/activeX/activeX6.bin" ContentType="application/vnd.ms-office.activeX"/>
  <Override PartName="/xl/activeX/activeX67.bin" ContentType="application/vnd.ms-office.activeX"/>
  <Override PartName="/xl/activeX/activeX66.bin" ContentType="application/vnd.ms-office.activeX"/>
  <Override PartName="/xl/activeX/activeX65.bin" ContentType="application/vnd.ms-office.activeX"/>
  <Override PartName="/xl/activeX/activeX64.bin" ContentType="application/vnd.ms-office.activeX"/>
  <Override PartName="/xl/activeX/activeX63.bin" ContentType="application/vnd.ms-office.activeX"/>
  <Override PartName="/xl/activeX/activeX62.bin" ContentType="application/vnd.ms-office.activeX"/>
  <Override PartName="/xl/activeX/activeX61.bin" ContentType="application/vnd.ms-office.activeX"/>
  <Override PartName="/xl/activeX/activeX60.bin" ContentType="application/vnd.ms-office.activeX"/>
  <Override PartName="/xl/activeX/activeX59.bin" ContentType="application/vnd.ms-office.activeX"/>
  <Override PartName="/xl/activeX/activeX58.bin" ContentType="application/vnd.ms-office.activeX"/>
  <Override PartName="/xl/activeX/activeX57.bin" ContentType="application/vnd.ms-office.activeX"/>
  <Override PartName="/xl/activeX/activeX56.bin" ContentType="application/vnd.ms-office.activeX"/>
  <Override PartName="/xl/activeX/activeX55.bin" ContentType="application/vnd.ms-office.activeX"/>
  <Override PartName="/xl/activeX/activeX54.bin" ContentType="application/vnd.ms-office.activeX"/>
  <Override PartName="/xl/activeX/activeX53.bin" ContentType="application/vnd.ms-office.activeX"/>
  <Override PartName="/xl/activeX/activeX52.bin" ContentType="application/vnd.ms-office.activeX"/>
  <Override PartName="/xl/activeX/activeX51.bin" ContentType="application/vnd.ms-office.activeX"/>
  <Override PartName="/xl/activeX/activeX50.bin" ContentType="application/vnd.ms-office.activeX"/>
  <Override PartName="/xl/activeX/activeX49.bin" ContentType="application/vnd.ms-office.activeX"/>
  <Override PartName="/xl/activeX/activeX48.bin" ContentType="application/vnd.ms-office.activeX"/>
  <Override PartName="/xl/activeX/activeX47.bin" ContentType="application/vnd.ms-office.activeX"/>
  <Override PartName="/xl/activeX/activeX46.bin" ContentType="application/vnd.ms-office.activeX"/>
  <Override PartName="/xl/activeX/activeX45.bin" ContentType="application/vnd.ms-office.activeX"/>
  <Override PartName="/xl/activeX/activeX44.bin" ContentType="application/vnd.ms-office.activeX"/>
  <Override PartName="/xl/activeX/activeX43.bin" ContentType="application/vnd.ms-office.activeX"/>
  <Override PartName="/xl/activeX/activeX42.bin" ContentType="application/vnd.ms-office.activeX"/>
  <Override PartName="/xl/activeX/activeX41.bin" ContentType="application/vnd.ms-office.activeX"/>
  <Override PartName="/xl/activeX/activeX40.bin" ContentType="application/vnd.ms-office.activeX"/>
  <Override PartName="/xl/activeX/activeX39.bin" ContentType="application/vnd.ms-office.activeX"/>
  <Override PartName="/xl/activeX/activeX38.bin" ContentType="application/vnd.ms-office.activeX"/>
  <Override PartName="/xl/activeX/activeX37.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11" codeName="{00000000-0000-0000-0000-000000000000}"/>
  <workbookPr codeName="ThisWorkbook" defaultThemeVersion="124226"/>
  <mc:AlternateContent xmlns:mc="http://schemas.openxmlformats.org/markup-compatibility/2006">
    <mc:Choice Requires="x15">
      <x15ac:absPath xmlns:x15ac="http://schemas.microsoft.com/office/spreadsheetml/2010/11/ac" url="C:\Temp\Copy - Planning Views\"/>
    </mc:Choice>
  </mc:AlternateContent>
  <xr:revisionPtr revIDLastSave="0" documentId="13_ncr:1_{F97DCB1D-B268-4C0A-955B-C65D7B47C75C}" xr6:coauthVersionLast="47" xr6:coauthVersionMax="47" xr10:uidLastSave="{00000000-0000-0000-0000-000000000000}"/>
  <bookViews>
    <workbookView xWindow="23880" yWindow="-120" windowWidth="29040" windowHeight="15840" tabRatio="374" firstSheet="2" activeTab="2" xr2:uid="{00000000-000D-0000-FFFF-FFFF00000000}"/>
  </bookViews>
  <sheets>
    <sheet name="SapIbpChartFeeder" sheetId="6" state="hidden" r:id="rId1"/>
    <sheet name="IBPFormattingSheet" sheetId="12" state="hidden" r:id="rId2"/>
    <sheet name="Statistical Forecast" sheetId="5" r:id="rId3"/>
    <sheet name="Variable Impact Analysis" sheetId="13" r:id="rId4"/>
  </sheets>
  <definedNames>
    <definedName name="__FPMExcelClient_CellBasedFunctionStatus" localSheetId="2" hidden="1">"2_1_2_2_2_2"</definedName>
    <definedName name="__FPMExcelClient_CellBasedFunctionStatus" localSheetId="3" hidden="1">"2_1_2_2_2_2"</definedName>
    <definedName name="__FPMExcelClient_Connection" localSheetId="2">"{A63CB8EE-6674-452e-ACA5-65D5174D689E}_[https://pd6-006.wdf.sap.corp/sap/sop/sopfnd/services/addin/excel/]_[SOP]_[UPA2108]_[]_[]_[false]_[False]\1"</definedName>
    <definedName name="__FPMExcelClient_Connection" localSheetId="3">"{A63CB8EE-6674-452e-ACA5-65D5174D689E}_[https://pd6-006.wdf.sap.corp/sap/sop/sopfnd/services/addin/excel/]_[SOP]_[UPA2108]_[]_[]_[false]_[False]\1"</definedName>
    <definedName name="_SOP">2</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IBPFormattingSheet!$D$46</definedName>
    <definedName name="AddMemberFirst_1" localSheetId="1" hidden="1">IBPFormattingSheet!$D$41</definedName>
    <definedName name="AddMemberFirst_2" localSheetId="1" hidden="1">IBPFormattingSheet!$D$44</definedName>
    <definedName name="AddMemberSecond" localSheetId="1" hidden="1">IBPFormattingSheet!$D$85</definedName>
    <definedName name="AddMemberSecond_1" localSheetId="1" hidden="1">IBPFormattingSheet!$D$65</definedName>
    <definedName name="AddMemberSecond_2" localSheetId="1" hidden="1">IBPFormattingSheet!$D$68</definedName>
    <definedName name="AddMemberSecond_3" localSheetId="1" hidden="1">IBPFormattingSheet!$D$71</definedName>
    <definedName name="AddMemberSecond_4" localSheetId="1" hidden="1">IBPFormattingSheet!$D$74</definedName>
    <definedName name="AddMemberSecond_5" localSheetId="1" hidden="1">IBPFormattingSheet!$D$77</definedName>
    <definedName name="AddMemberSecond_6" localSheetId="1" hidden="1">IBPFormattingSheet!$D$80</definedName>
    <definedName name="AddMemberSecond_7" localSheetId="1" hidden="1">IBPFormattingSheet!$D$83</definedName>
    <definedName name="DataFirst" localSheetId="1" hidden="1">IBPFormattingSheet!$E$25:$G$25</definedName>
    <definedName name="DataSecond" localSheetId="1" hidden="1">IBPFormattingSheet!$E$100:$G$100</definedName>
    <definedName name="DataUseFirst" localSheetId="1" hidden="1">IBPFormattingSheet!$H$25</definedName>
    <definedName name="DataUseSecond" localSheetId="1" hidden="1">IBPFormattingSheet!$H$100</definedName>
    <definedName name="EPMWorkbookOptions_1" hidden="1">"TgEAAB+LCAAAAAAABACFkE0LgkAQhu9B/2HZe64WdBA/DnUJEgOhuk466qLtxu7W+vOTwiI9dH3meWeGN4i7a0seqDSXIqSe41KCIpcFF1VI76ZceGsaR/NZcJKquUjZpDfTq5r0OaH9TvOQ1sbcfMastY5dOVJVbOm6Hjsn+yyv8QoLLrQBkSP9pIr/KdpfJSTYtAhqCwZSkcEDoxJajQEb45c7/HhQ0mBusBjs6eDXtwVhb7TTR1AcLi0m"</definedName>
    <definedName name="EPMWorkbookOptions_2" hidden="1">"qKrvhgnvK2GjTqInXuXyk04BAAA="</definedName>
    <definedName name="EvenDataFirst" localSheetId="1" hidden="1">IBPFormattingSheet!$F$97</definedName>
    <definedName name="EvenDataSecond" localSheetId="1" hidden="1">IBPFormattingSheet!$F$105</definedName>
    <definedName name="EvenDataUseFirst" localSheetId="1" hidden="1">IBPFormattingSheet!$H$97</definedName>
    <definedName name="EvenDataUseSecond" localSheetId="1" hidden="1">IBPFormattingSheet!$H$105</definedName>
    <definedName name="EvenHeaderFirst" localSheetId="1" hidden="1">IBPFormattingSheet!$J$97</definedName>
    <definedName name="EvenHeaderSecond" localSheetId="1" hidden="1">IBPFormattingSheet!$J$105</definedName>
    <definedName name="EvenHeaderUseFirst" localSheetId="1" hidden="1">IBPFormattingSheet!$L$97</definedName>
    <definedName name="EvenHeaderUseSecond" localSheetId="1" hidden="1">IBPFormattingSheet!$L$105</definedName>
    <definedName name="HeaderFirst" localSheetId="1" hidden="1">IBPFormattingSheet!$I$25:$K$25</definedName>
    <definedName name="HeaderSecond" localSheetId="1" hidden="1">IBPFormattingSheet!$I$100:$K$100</definedName>
    <definedName name="HeaderSmallGrid" localSheetId="1" hidden="1">IBPFormattingSheet!$A$1</definedName>
    <definedName name="HeaderUseFirst" localSheetId="1" hidden="1">IBPFormattingSheet!$L$25</definedName>
    <definedName name="HeaderUseSecond" localSheetId="1" hidden="1">IBPFormattingSheet!$L$100</definedName>
    <definedName name="HeaderUseSmallGrid" localSheetId="1" hidden="1">IBPFormattingSheet!$A$1</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IBPFormattingSheet!$B$87</definedName>
    <definedName name="MemberFirstBlock" localSheetId="1" hidden="1">IBPFormattingSheet!$B$24:$B$47</definedName>
    <definedName name="MemberFirstDataCalculated" localSheetId="1" hidden="1">IBPFormattingSheet!$F$27</definedName>
    <definedName name="MemberFirstDataChanged" localSheetId="1" hidden="1">IBPFormattingSheet!$F$36</definedName>
    <definedName name="MemberFirstDataCustom" localSheetId="1" hidden="1">IBPFormattingSheet!#REF!</definedName>
    <definedName name="MemberFirstDataInputable" localSheetId="1" hidden="1">IBPFormattingSheet!$F$30</definedName>
    <definedName name="MemberFirstDataItem_1" localSheetId="1" hidden="1">IBPFormattingSheet!$F$41</definedName>
    <definedName name="MemberFirstDataItem_2" localSheetId="1" hidden="1">IBPFormattingSheet!$F$44</definedName>
    <definedName name="MemberFirstDataLocal" localSheetId="1" hidden="1">IBPFormattingSheet!$F$33</definedName>
    <definedName name="MemberFirstDataUseCalculated" localSheetId="1" hidden="1">IBPFormattingSheet!$H$27</definedName>
    <definedName name="MemberFirstDataUseChanged" localSheetId="1" hidden="1">IBPFormattingSheet!$H$36</definedName>
    <definedName name="MemberFirstDataUseCustom" localSheetId="1" hidden="1">IBPFormattingSheet!#REF!</definedName>
    <definedName name="MemberFirstDataUseInputable" localSheetId="1" hidden="1">IBPFormattingSheet!$H$30</definedName>
    <definedName name="MemberFirstDataUseItem_1" localSheetId="1" hidden="1">IBPFormattingSheet!$H$41</definedName>
    <definedName name="MemberFirstDataUseItem_2" localSheetId="1" hidden="1">IBPFormattingSheet!$H$44</definedName>
    <definedName name="MemberFirstDataUseLocal" localSheetId="1" hidden="1">IBPFormattingSheet!$H$33</definedName>
    <definedName name="MemberFirstHeaderCalculated" localSheetId="1" hidden="1">IBPFormattingSheet!$J$27</definedName>
    <definedName name="MemberFirstHeaderChanged" localSheetId="1" hidden="1">IBPFormattingSheet!$J$36</definedName>
    <definedName name="MemberFirstHeaderCustom" localSheetId="1" hidden="1">IBPFormattingSheet!#REF!</definedName>
    <definedName name="MemberFirstHeaderInputable" localSheetId="1" hidden="1">IBPFormattingSheet!$J$30</definedName>
    <definedName name="MemberFirstHeaderItem_1" localSheetId="1" hidden="1">IBPFormattingSheet!$J$41</definedName>
    <definedName name="MemberFirstHeaderItem_2" localSheetId="1" hidden="1">IBPFormattingSheet!$J$44</definedName>
    <definedName name="MemberFirstHeaderLocal" localSheetId="1" hidden="1">IBPFormattingSheet!$J$33</definedName>
    <definedName name="MemberFirstHeaderUseCalculated" localSheetId="1" hidden="1">IBPFormattingSheet!$L$27</definedName>
    <definedName name="MemberFirstHeaderUseChanged" localSheetId="1" hidden="1">IBPFormattingSheet!$L$36</definedName>
    <definedName name="MemberFirstHeaderUseCustom" localSheetId="1" hidden="1">IBPFormattingSheet!#REF!</definedName>
    <definedName name="MemberFirstHeaderUseInputable" localSheetId="1" hidden="1">IBPFormattingSheet!$L$30</definedName>
    <definedName name="MemberFirstHeaderUseItem_1" localSheetId="1" hidden="1">IBPFormattingSheet!$L$41</definedName>
    <definedName name="MemberFirstHeaderUseItem_2" localSheetId="1" hidden="1">IBPFormattingSheet!$L$44</definedName>
    <definedName name="MemberFirstHeaderUseLocal" localSheetId="1" hidden="1">IBPFormattingSheet!$L$33</definedName>
    <definedName name="MemberSecondBlock" localSheetId="1" hidden="1">IBPFormattingSheet!$B$48:$B$86</definedName>
    <definedName name="MemberSecondDataCalculated" localSheetId="1" hidden="1">IBPFormattingSheet!$F$51</definedName>
    <definedName name="MemberSecondDataChanged" localSheetId="1" hidden="1">IBPFormattingSheet!$F$60</definedName>
    <definedName name="MemberSecondDataCustom" localSheetId="1" hidden="1">IBPFormattingSheet!#REF!</definedName>
    <definedName name="MemberSecondDataInputable" localSheetId="1" hidden="1">IBPFormattingSheet!$F$54</definedName>
    <definedName name="MemberSecondDataItem_1" localSheetId="1" hidden="1">IBPFormattingSheet!$F$65</definedName>
    <definedName name="MemberSecondDataItem_2" localSheetId="1" hidden="1">IBPFormattingSheet!$F$68</definedName>
    <definedName name="MemberSecondDataItem_3" localSheetId="1" hidden="1">IBPFormattingSheet!$F$71</definedName>
    <definedName name="MemberSecondDataItem_4" localSheetId="1" hidden="1">IBPFormattingSheet!$F$74</definedName>
    <definedName name="MemberSecondDataItem_5" localSheetId="1" hidden="1">IBPFormattingSheet!$F$77</definedName>
    <definedName name="MemberSecondDataItem_6" localSheetId="1" hidden="1">IBPFormattingSheet!$F$80</definedName>
    <definedName name="MemberSecondDataItem_7" localSheetId="1" hidden="1">IBPFormattingSheet!$F$83</definedName>
    <definedName name="MemberSecondDataLocal" localSheetId="1" hidden="1">IBPFormattingSheet!$F$57</definedName>
    <definedName name="MemberSecondDataUseCalculated" localSheetId="1" hidden="1">IBPFormattingSheet!$H$51</definedName>
    <definedName name="MemberSecondDataUseChanged" localSheetId="1" hidden="1">IBPFormattingSheet!$H$60</definedName>
    <definedName name="MemberSecondDataUseCustom" localSheetId="1" hidden="1">IBPFormattingSheet!#REF!</definedName>
    <definedName name="MemberSecondDataUseInputable" localSheetId="1" hidden="1">IBPFormattingSheet!$H$54</definedName>
    <definedName name="MemberSecondDataUseItem_1" localSheetId="1" hidden="1">IBPFormattingSheet!$H$65</definedName>
    <definedName name="MemberSecondDataUseItem_2" localSheetId="1" hidden="1">IBPFormattingSheet!$H$68</definedName>
    <definedName name="MemberSecondDataUseItem_3" localSheetId="1" hidden="1">IBPFormattingSheet!$H$71</definedName>
    <definedName name="MemberSecondDataUseItem_4" localSheetId="1" hidden="1">IBPFormattingSheet!$H$74</definedName>
    <definedName name="MemberSecondDataUseItem_5" localSheetId="1" hidden="1">IBPFormattingSheet!$H$77</definedName>
    <definedName name="MemberSecondDataUseItem_6" localSheetId="1" hidden="1">IBPFormattingSheet!$H$80</definedName>
    <definedName name="MemberSecondDataUseItem_7" localSheetId="1" hidden="1">IBPFormattingSheet!$H$83</definedName>
    <definedName name="MemberSecondDataUseLocal" localSheetId="1" hidden="1">IBPFormattingSheet!$H$57</definedName>
    <definedName name="MemberSecondHeaderCalculated" localSheetId="1" hidden="1">IBPFormattingSheet!$J$51</definedName>
    <definedName name="MemberSecondHeaderChanged" localSheetId="1" hidden="1">IBPFormattingSheet!$J$60</definedName>
    <definedName name="MemberSecondHeaderCustom" localSheetId="1" hidden="1">IBPFormattingSheet!#REF!</definedName>
    <definedName name="MemberSecondHeaderInputable" localSheetId="1" hidden="1">IBPFormattingSheet!$J$54</definedName>
    <definedName name="MemberSecondHeaderItem_1" localSheetId="1" hidden="1">IBPFormattingSheet!$J$65</definedName>
    <definedName name="MemberSecondHeaderItem_2" localSheetId="1" hidden="1">IBPFormattingSheet!$J$68</definedName>
    <definedName name="MemberSecondHeaderItem_3" localSheetId="1" hidden="1">IBPFormattingSheet!$J$71</definedName>
    <definedName name="MemberSecondHeaderItem_4" localSheetId="1" hidden="1">IBPFormattingSheet!$J$74</definedName>
    <definedName name="MemberSecondHeaderItem_5" localSheetId="1" hidden="1">IBPFormattingSheet!$J$77</definedName>
    <definedName name="MemberSecondHeaderItem_6" localSheetId="1" hidden="1">IBPFormattingSheet!$J$80</definedName>
    <definedName name="MemberSecondHeaderItem_7" localSheetId="1" hidden="1">IBPFormattingSheet!$J$83</definedName>
    <definedName name="MemberSecondHeaderLocal" localSheetId="1" hidden="1">IBPFormattingSheet!$J$57</definedName>
    <definedName name="MemberSecondHeaderUseCalculated" localSheetId="1" hidden="1">IBPFormattingSheet!$L$51</definedName>
    <definedName name="MemberSecondHeaderUseChanged" localSheetId="1" hidden="1">IBPFormattingSheet!$L$60</definedName>
    <definedName name="MemberSecondHeaderUseCustom" localSheetId="1" hidden="1">IBPFormattingSheet!#REF!</definedName>
    <definedName name="MemberSecondHeaderUseInputable" localSheetId="1" hidden="1">IBPFormattingSheet!$L$54</definedName>
    <definedName name="MemberSecondHeaderUseItem_1" localSheetId="1" hidden="1">IBPFormattingSheet!$L$65</definedName>
    <definedName name="MemberSecondHeaderUseItem_2" localSheetId="1" hidden="1">IBPFormattingSheet!$L$68</definedName>
    <definedName name="MemberSecondHeaderUseItem_3" localSheetId="1" hidden="1">IBPFormattingSheet!$L$71</definedName>
    <definedName name="MemberSecondHeaderUseItem_4" localSheetId="1" hidden="1">IBPFormattingSheet!$L$74</definedName>
    <definedName name="MemberSecondHeaderUseItem_5" localSheetId="1" hidden="1">IBPFormattingSheet!$L$77</definedName>
    <definedName name="MemberSecondHeaderUseItem_6" localSheetId="1" hidden="1">IBPFormattingSheet!$L$80</definedName>
    <definedName name="MemberSecondHeaderUseItem_7" localSheetId="1" hidden="1">IBPFormattingSheet!$L$83</definedName>
    <definedName name="MemberSecondHeaderUseLocal" localSheetId="1" hidden="1">IBPFormattingSheet!$L$57</definedName>
    <definedName name="OddDataFirst" localSheetId="1" hidden="1">IBPFormattingSheet!$F$94</definedName>
    <definedName name="OddDataSecond" localSheetId="1" hidden="1">IBPFormattingSheet!$F$102</definedName>
    <definedName name="OddDataUseFirst" localSheetId="1" hidden="1">IBPFormattingSheet!$H$94</definedName>
    <definedName name="OddDataUseSecond" localSheetId="1" hidden="1">IBPFormattingSheet!$H$102</definedName>
    <definedName name="OddEvenEndBlock" localSheetId="1" hidden="1">IBPFormattingSheet!$B$107</definedName>
    <definedName name="OddEvenFirstBlock" localSheetId="1" hidden="1">IBPFormattingSheet!$B$91:$B$98</definedName>
    <definedName name="OddEvenSecondBlock" localSheetId="1" hidden="1">IBPFormattingSheet!$B$99:$B$106</definedName>
    <definedName name="OddHeaderFirst" localSheetId="1" hidden="1">IBPFormattingSheet!$J$94</definedName>
    <definedName name="OddHeaderSecond" localSheetId="1" hidden="1">IBPFormattingSheet!$J$102</definedName>
    <definedName name="OddHeaderUseFirst" localSheetId="1" hidden="1">IBPFormattingSheet!$L$94</definedName>
    <definedName name="OddHeaderUseSecond" localSheetId="1" hidden="1">IBPFormattingSheet!$L$102</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 localSheetId="1">"PD6"</definedName>
    <definedName name="SOP_Connection_Name">"PD6 - UPA2208"</definedName>
    <definedName name="SOP_Favorite_Name">"DP 120 Statistical Forecast"</definedName>
    <definedName name="SOP_Filter" localSheetId="1">{" "}</definedName>
    <definedName name="SOP_Filter" localSheetId="2">{"ABC Code = A"}</definedName>
    <definedName name="SOP_Filter" localSheetId="3">{"Customer ID = 0010100001","Location ID = 3710","Product ID = IBP-120"}</definedName>
    <definedName name="SOP_Filter">{" "}</definedName>
    <definedName name="SOP_Filter_Criteria_Count" localSheetId="2">1</definedName>
    <definedName name="SOP_Filter_Criteria_Count" localSheetId="3">3</definedName>
    <definedName name="SOP_Filter_Name" localSheetId="2">"(Ad Hoc Filter)"</definedName>
    <definedName name="SOP_Filter_Name" localSheetId="3">"(Ad Hoc Filter)"</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"Customer ID"</definedName>
    <definedName name="SOP_Heading2" localSheetId="3">"Customer ID"</definedName>
    <definedName name="SOP_Heading3" localSheetId="2">"Location ID"</definedName>
    <definedName name="SOP_Heading3" localSheetId="3">"Location ID"</definedName>
    <definedName name="SOP_Heading4" localSheetId="2">"Product ID"</definedName>
    <definedName name="SOP_Heading4" localSheetId="3">"Product ID"</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 localSheetId="1">"SAP6PFT"</definedName>
    <definedName name="SOP_Planning_Area">"UPA2208"</definedName>
    <definedName name="SOP_Planning_Scope" localSheetId="1">" "</definedName>
    <definedName name="SOP_Planning_Scope">"TW24 M6 2022 - TW30 M7 2024 | Baseline | Base Version | SPA"</definedName>
    <definedName name="SOP_Refresh_Timestamp" localSheetId="1">43129.8290046296</definedName>
    <definedName name="SOP_Refresh_Timestamp">44690.5879050926</definedName>
    <definedName name="SOP_TargetCurrency" localSheetId="2">"USD"</definedName>
    <definedName name="SOP_TargetCurrency" localSheetId="3">"USD"</definedName>
    <definedName name="SOP_TargetUoM" localSheetId="2">"EA"</definedName>
    <definedName name="SOP_TargetUoM" localSheetId="3">"EA"</definedName>
    <definedName name="SOP_Template_Name">"DP 120 Statistical Forecast"</definedName>
    <definedName name="SOP_Value_Based_Filter" localSheetId="2">{" "}</definedName>
    <definedName name="SOP_Value_Based_Filter" localSheetId="3">{" "}</definedName>
    <definedName name="SOP_Value_Based_Filter_Name" localSheetId="2">"(None)"</definedName>
    <definedName name="SOP_Value_Based_Filter_Name" localSheetId="3">"(None)"</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J5" i="13" l="1"/>
  <c r="I5" i="13"/>
  <c r="H5" i="13"/>
  <c r="G5" i="13"/>
  <c r="F5" i="13"/>
  <c r="E5" i="13"/>
  <c r="D5" i="13"/>
  <c r="C5" i="13"/>
  <c r="B5" i="13"/>
  <c r="A5" i="13"/>
  <c r="K3" i="13"/>
  <c r="A3" i="13"/>
  <c r="J2" i="13"/>
  <c r="A2" i="13"/>
  <c r="K1" i="13"/>
  <c r="J2" i="5"/>
  <c r="G6" i="13"/>
  <c r="J6" i="13"/>
  <c r="J7" i="13"/>
  <c r="J10" i="13"/>
  <c r="J9" i="13"/>
  <c r="H6" i="13"/>
  <c r="J16" i="13"/>
  <c r="J8" i="13"/>
  <c r="I6" i="13"/>
  <c r="AN5" i="13"/>
  <c r="J14" i="13"/>
  <c r="Q5" i="13"/>
  <c r="Y5" i="13"/>
  <c r="AG5" i="13"/>
  <c r="AO5" i="13"/>
  <c r="AW5" i="13"/>
  <c r="BE5" i="13"/>
  <c r="BM5" i="13"/>
  <c r="BU5" i="13"/>
  <c r="CC5" i="13"/>
  <c r="CK5" i="13"/>
  <c r="CS5" i="13"/>
  <c r="DA5" i="13"/>
  <c r="DI5" i="13"/>
  <c r="J15" i="13"/>
  <c r="R5" i="13"/>
  <c r="Z5" i="13"/>
  <c r="AH5" i="13"/>
  <c r="AP5" i="13"/>
  <c r="AX5" i="13"/>
  <c r="BF5" i="13"/>
  <c r="BN5" i="13"/>
  <c r="BV5" i="13"/>
  <c r="CD5" i="13"/>
  <c r="CL5" i="13"/>
  <c r="CT5" i="13"/>
  <c r="DB5" i="13"/>
  <c r="DJ5" i="13"/>
  <c r="K5" i="13"/>
  <c r="S5" i="13"/>
  <c r="AA5" i="13"/>
  <c r="AI5" i="13"/>
  <c r="AQ5" i="13"/>
  <c r="AY5" i="13"/>
  <c r="BG5" i="13"/>
  <c r="BO5" i="13"/>
  <c r="BW5" i="13"/>
  <c r="CE5" i="13"/>
  <c r="CM5" i="13"/>
  <c r="CU5" i="13"/>
  <c r="DC5" i="13"/>
  <c r="L5" i="13"/>
  <c r="T5" i="13"/>
  <c r="AB5" i="13"/>
  <c r="AJ5" i="13"/>
  <c r="AR5" i="13"/>
  <c r="AZ5" i="13"/>
  <c r="BH5" i="13"/>
  <c r="BP5" i="13"/>
  <c r="CF5" i="13"/>
  <c r="CN5" i="13"/>
  <c r="CV5" i="13"/>
  <c r="DD5" i="13"/>
  <c r="CJ5" i="13"/>
  <c r="DH5" i="13"/>
  <c r="BX5" i="13"/>
  <c r="M5" i="13"/>
  <c r="U5" i="13"/>
  <c r="AC5" i="13"/>
  <c r="AK5" i="13"/>
  <c r="AS5" i="13"/>
  <c r="BA5" i="13"/>
  <c r="BI5" i="13"/>
  <c r="BQ5" i="13"/>
  <c r="BY5" i="13"/>
  <c r="CG5" i="13"/>
  <c r="CO5" i="13"/>
  <c r="CW5" i="13"/>
  <c r="DE5" i="13"/>
  <c r="J11" i="13"/>
  <c r="N5" i="13"/>
  <c r="V5" i="13"/>
  <c r="AD5" i="13"/>
  <c r="AL5" i="13"/>
  <c r="AT5" i="13"/>
  <c r="BB5" i="13"/>
  <c r="BJ5" i="13"/>
  <c r="BR5" i="13"/>
  <c r="BZ5" i="13"/>
  <c r="CH5" i="13"/>
  <c r="CP5" i="13"/>
  <c r="CX5" i="13"/>
  <c r="DF5" i="13"/>
  <c r="J12" i="13"/>
  <c r="O5" i="13"/>
  <c r="W5" i="13"/>
  <c r="AE5" i="13"/>
  <c r="AM5" i="13"/>
  <c r="AU5" i="13"/>
  <c r="BC5" i="13"/>
  <c r="BK5" i="13"/>
  <c r="BS5" i="13"/>
  <c r="CA5" i="13"/>
  <c r="CI5" i="13"/>
  <c r="CQ5" i="13"/>
  <c r="CY5" i="13"/>
  <c r="DG5" i="13"/>
  <c r="J13" i="13"/>
  <c r="P5" i="13"/>
  <c r="X5" i="13"/>
  <c r="AF5" i="13"/>
  <c r="AV5" i="13"/>
  <c r="BD5" i="13"/>
  <c r="BL5" i="13"/>
  <c r="BT5" i="13"/>
  <c r="CB5" i="13"/>
  <c r="CR5" i="13"/>
  <c r="CZ5" i="13"/>
  <c r="J16" i="5"/>
  <c r="H58" i="5"/>
  <c r="J69" i="5"/>
  <c r="J53" i="5"/>
  <c r="H34" i="5"/>
  <c r="J24" i="5"/>
  <c r="J64" i="5"/>
  <c r="J13" i="5"/>
  <c r="J54" i="5"/>
  <c r="I14" i="5"/>
  <c r="J55" i="5"/>
  <c r="H26" i="5"/>
  <c r="J66" i="5"/>
  <c r="J75" i="5"/>
  <c r="Y5" i="5"/>
  <c r="CK5" i="5"/>
  <c r="AA5" i="5"/>
  <c r="AJ5" i="5"/>
  <c r="CV5" i="5"/>
  <c r="CG5" i="5"/>
  <c r="CT5" i="5"/>
  <c r="BB5" i="5"/>
  <c r="BR5" i="5"/>
  <c r="AM5" i="5"/>
  <c r="CY5" i="5"/>
  <c r="CR5" i="5"/>
  <c r="AX5" i="5"/>
  <c r="CL5" i="5"/>
  <c r="AN5" i="5"/>
  <c r="J67" i="5"/>
  <c r="BI5" i="5"/>
  <c r="CS5" i="5"/>
  <c r="J28" i="5"/>
  <c r="J7" i="5"/>
  <c r="G62" i="5"/>
  <c r="CN5" i="5"/>
  <c r="AE5" i="5"/>
  <c r="I22" i="5"/>
  <c r="I62" i="5"/>
  <c r="H70" i="5"/>
  <c r="J62" i="5"/>
  <c r="I38" i="5"/>
  <c r="J29" i="5"/>
  <c r="I70" i="5"/>
  <c r="J18" i="5"/>
  <c r="J60" i="5"/>
  <c r="J19" i="5"/>
  <c r="J61" i="5"/>
  <c r="J30" i="5"/>
  <c r="J72" i="5"/>
  <c r="J76" i="5"/>
  <c r="AW5" i="5"/>
  <c r="BF5" i="5"/>
  <c r="AI5" i="5"/>
  <c r="AR5" i="5"/>
  <c r="DD5" i="5"/>
  <c r="CW5" i="5"/>
  <c r="CU5" i="5"/>
  <c r="CH5" i="5"/>
  <c r="CP5" i="5"/>
  <c r="AU5" i="5"/>
  <c r="DG5" i="5"/>
  <c r="CZ5" i="5"/>
  <c r="BS5" i="5"/>
  <c r="CJ5" i="5"/>
  <c r="DE5" i="5"/>
  <c r="I18" i="5"/>
  <c r="J20" i="5"/>
  <c r="AD5" i="5"/>
  <c r="J26" i="5"/>
  <c r="J68" i="5"/>
  <c r="H6" i="5"/>
  <c r="J74" i="5"/>
  <c r="J43" i="5"/>
  <c r="I34" i="5"/>
  <c r="I66" i="5"/>
  <c r="J25" i="5"/>
  <c r="J65" i="5"/>
  <c r="G26" i="5"/>
  <c r="J71" i="5"/>
  <c r="J36" i="5"/>
  <c r="H10" i="5"/>
  <c r="J77" i="5"/>
  <c r="BU5" i="5"/>
  <c r="BO5" i="5"/>
  <c r="AQ5" i="5"/>
  <c r="AZ5" i="5"/>
  <c r="M5" i="5"/>
  <c r="V5" i="5"/>
  <c r="U5" i="5"/>
  <c r="DF5" i="5"/>
  <c r="BV5" i="5"/>
  <c r="BC5" i="5"/>
  <c r="X5" i="5"/>
  <c r="Q5" i="5"/>
  <c r="BW5" i="5"/>
  <c r="AF5" i="5"/>
  <c r="BE5" i="5"/>
  <c r="J14" i="5"/>
  <c r="CX5" i="5"/>
  <c r="I10" i="5"/>
  <c r="J59" i="5"/>
  <c r="J63" i="5"/>
  <c r="AB5" i="5"/>
  <c r="CQ5" i="5"/>
  <c r="J32" i="5"/>
  <c r="I74" i="5"/>
  <c r="J10" i="5"/>
  <c r="I6" i="5"/>
  <c r="J49" i="5"/>
  <c r="J38" i="5"/>
  <c r="I26" i="5"/>
  <c r="H30" i="5"/>
  <c r="J70" i="5"/>
  <c r="I30" i="5"/>
  <c r="J31" i="5"/>
  <c r="J41" i="5"/>
  <c r="J21" i="5"/>
  <c r="P5" i="5"/>
  <c r="DA5" i="5"/>
  <c r="R5" i="5"/>
  <c r="AY5" i="5"/>
  <c r="BH5" i="5"/>
  <c r="AC5" i="5"/>
  <c r="AL5" i="5"/>
  <c r="BA5" i="5"/>
  <c r="AP5" i="5"/>
  <c r="DB5" i="5"/>
  <c r="BK5" i="5"/>
  <c r="AG5" i="5"/>
  <c r="BD5" i="5"/>
  <c r="T5" i="5"/>
  <c r="CI5" i="5"/>
  <c r="J42" i="5"/>
  <c r="H50" i="5"/>
  <c r="BM5" i="5"/>
  <c r="BQ5" i="5"/>
  <c r="CB5" i="5"/>
  <c r="G38" i="5"/>
  <c r="J27" i="5"/>
  <c r="J17" i="5"/>
  <c r="J11" i="5"/>
  <c r="H54" i="5"/>
  <c r="J44" i="5"/>
  <c r="J51" i="5"/>
  <c r="J34" i="5"/>
  <c r="J15" i="5"/>
  <c r="J35" i="5"/>
  <c r="H62" i="5"/>
  <c r="I46" i="5"/>
  <c r="J37" i="5"/>
  <c r="AV5" i="5"/>
  <c r="AH5" i="5"/>
  <c r="BN5" i="5"/>
  <c r="CE5" i="5"/>
  <c r="BP5" i="5"/>
  <c r="AK5" i="5"/>
  <c r="BJ5" i="5"/>
  <c r="BY5" i="5"/>
  <c r="DJ5" i="5"/>
  <c r="CM5" i="5"/>
  <c r="CC5" i="5"/>
  <c r="K5" i="5"/>
  <c r="N5" i="5"/>
  <c r="I58" i="5"/>
  <c r="I50" i="5"/>
  <c r="S5" i="5"/>
  <c r="AT5" i="5"/>
  <c r="I42" i="5"/>
  <c r="H38" i="5"/>
  <c r="J22" i="5"/>
  <c r="H18" i="5"/>
  <c r="J6" i="5"/>
  <c r="G50" i="5"/>
  <c r="J73" i="5"/>
  <c r="J39" i="5"/>
  <c r="H42" i="5"/>
  <c r="J40" i="5"/>
  <c r="J9" i="5"/>
  <c r="J50" i="5"/>
  <c r="J46" i="5"/>
  <c r="BT5" i="5"/>
  <c r="BG5" i="5"/>
  <c r="CD5" i="5"/>
  <c r="L5" i="5"/>
  <c r="BX5" i="5"/>
  <c r="AS5" i="5"/>
  <c r="BZ5" i="5"/>
  <c r="CO5" i="5"/>
  <c r="DC5" i="5"/>
  <c r="O5" i="5"/>
  <c r="CA5" i="5"/>
  <c r="AO5" i="5"/>
  <c r="W5" i="5"/>
  <c r="G6" i="5"/>
  <c r="J47" i="5"/>
  <c r="J48" i="5"/>
  <c r="J33" i="5"/>
  <c r="J23" i="5"/>
  <c r="J12" i="5"/>
  <c r="I54" i="5"/>
  <c r="J58" i="5"/>
  <c r="J45" i="5"/>
  <c r="J57" i="5"/>
  <c r="H46" i="5"/>
  <c r="J56" i="5"/>
  <c r="CF5" i="5"/>
  <c r="BL5" i="5"/>
  <c r="J52" i="5"/>
  <c r="J8" i="5"/>
  <c r="DH5" i="5"/>
  <c r="Z5" i="5"/>
  <c r="DI5" i="5"/>
  <c r="Q1" i="13"/>
  <c r="Q1" i="5"/>
  <c r="K3" i="5" l="1"/>
  <c r="A3" i="5" l="1"/>
  <c r="A2" i="5" l="1"/>
  <c r="K1" i="5" l="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Schiefner, Sandro</author>
    <author>CONTI, ALBERTO</author>
  </authors>
  <commentList>
    <comment ref="D41" authorId="0" shapeId="0" xr:uid="{AC07217E-7E5E-475D-B8AB-C4A1C2123E13}">
      <text>
        <r>
          <rPr>
            <sz val="9"/>
            <color indexed="81"/>
            <rFont val="Tahoma"/>
            <family val="2"/>
          </rPr>
          <t>#NEW_TOTALMEMBER</t>
        </r>
      </text>
    </comment>
    <comment ref="D44" authorId="1" shapeId="0" xr:uid="{FD7C5451-C24C-4C42-8809-313BBECB5E3E}">
      <text>
        <r>
          <rPr>
            <sz val="9"/>
            <color indexed="81"/>
            <rFont val="Tahoma"/>
            <family val="2"/>
          </rPr>
          <t>#NEW_MEMBER|Member:[KEY_FIGURES].[].[ADJUSTEDACTUALSQTY]</t>
        </r>
      </text>
    </comment>
    <comment ref="D65" authorId="0" shapeId="0" xr:uid="{ED392C81-65C9-46E1-ADA8-5A425CCF24B2}">
      <text>
        <r>
          <rPr>
            <sz val="9"/>
            <color indexed="81"/>
            <rFont val="Tahoma"/>
            <family val="2"/>
          </rPr>
          <t>#NEW_PROPERTY|Dimension:PERIODID|Hierarchy:|Condition:TIMELEVEL|Operator:Equals|Value:TOTAL|HighValue:</t>
        </r>
      </text>
    </comment>
    <comment ref="D68" authorId="0" shapeId="0" xr:uid="{333C5F3F-947F-4FC5-A970-F2CC6C4E2427}">
      <text>
        <r>
          <rPr>
            <sz val="9"/>
            <color indexed="81"/>
            <rFont val="Tahoma"/>
            <family val="2"/>
          </rPr>
          <t>#NEW_PROPERTY|Dimension:PERIODID|Hierarchy:|Condition:TIMELEVEL|Operator:Equals|Value:PERIODID0|HighValue:</t>
        </r>
      </text>
    </comment>
    <comment ref="D71" authorId="0" shapeId="0" xr:uid="{00EC280C-6C4B-4ADF-9919-6599A555DC33}">
      <text>
        <r>
          <rPr>
            <sz val="9"/>
            <color indexed="81"/>
            <rFont val="Tahoma"/>
            <family val="2"/>
          </rPr>
          <t>#NEW_PROPERTY|Dimension:PERIODID|Hierarchy:|Condition:TIMELEVEL|Operator:Equals|Value:PERIODID1|HighValue:</t>
        </r>
      </text>
    </comment>
    <comment ref="D74" authorId="0" shapeId="0" xr:uid="{E260F55D-F7BA-4F05-9018-26857C93EFC7}">
      <text>
        <r>
          <rPr>
            <sz val="9"/>
            <color indexed="81"/>
            <rFont val="Tahoma"/>
            <family val="2"/>
          </rPr>
          <t>#NEW_PROPERTY|Dimension:PERIODID|Hierarchy:|Condition:TIMELEVEL|Operator:Equals|Value:PERIODID2|HighValue:</t>
        </r>
      </text>
    </comment>
    <comment ref="D77" authorId="0" shapeId="0" xr:uid="{50AB2356-FB95-44C3-9932-9A50D4297FAE}">
      <text>
        <r>
          <rPr>
            <sz val="9"/>
            <color indexed="81"/>
            <rFont val="Tahoma"/>
            <family val="2"/>
          </rPr>
          <t>#NEW_PROPERTY|Dimension:PERIODID|Hierarchy:|Condition:TIMELEVEL|Operator:Equals|Value:PERIODID3|HighValue:</t>
        </r>
      </text>
    </comment>
    <comment ref="D80" authorId="0" shapeId="0" xr:uid="{7484E961-322D-4232-A457-16E4062D4211}">
      <text>
        <r>
          <rPr>
            <sz val="9"/>
            <color indexed="81"/>
            <rFont val="Tahoma"/>
            <family val="2"/>
          </rPr>
          <t>#NEW_PROPERTY|Dimension:PERIODID|Hierarchy:|Condition:TIMELEVEL|Operator:Equals|Value:PERIODID4|HighValue:</t>
        </r>
      </text>
    </comment>
    <comment ref="D83" authorId="0" shapeId="0" xr:uid="{64AB97B9-0581-49C8-9686-F2A6E4BB3AF8}">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<sst xmlns="http://schemas.openxmlformats.org/spreadsheetml/2006/main" count="438" uniqueCount="193">
  <si>
    <t>Sheet2_SERIES</t>
  </si>
  <si>
    <t>= EPMOlapMemberO("[KEY_FIGURES].[].[STATISTICALEXPOSTFORECASTQTY]","","Ex-Post Fcst Qty","","000")_x000D_
= EPMOlapMemberO("[KEY_FIGURES].[].[ADJUSTEDACTUALSQTY]","","Actuals Qty Adj.","","000")_x000D_
= EPMLocalMember("Residuals FC-DEL","000","000")_x000D_
= EPMOlapMemberO("[KEY_FIGURES].[].[STATISTICALFORECASTQTY]","","Statistical Fcst Qty","","000")</t>
  </si>
  <si>
    <t>Sheet2_FILTER</t>
  </si>
  <si>
    <t>= EPMOlapMemberO("[PRDID].[].[FG126]","","FG126","","000")_x000D_
= EPMOlapMemberO("[LOCID].[].[6210]","","6210","","000")</t>
  </si>
  <si>
    <t>Sheet2_CHART</t>
  </si>
  <si>
    <t>CW19 M5 2021</t>
  </si>
  <si>
    <t>CW20 M5 2021</t>
  </si>
  <si>
    <t>CW21 M5 2021</t>
  </si>
  <si>
    <t>CW22 M6 2021</t>
  </si>
  <si>
    <t>CW23 M6 2021</t>
  </si>
  <si>
    <t>CW24 M6 2021</t>
  </si>
  <si>
    <t>CW25 M6 2021</t>
  </si>
  <si>
    <t>CW26 M6 2021</t>
  </si>
  <si>
    <t>CW27 M7 2021</t>
  </si>
  <si>
    <t>CW28 M7 2021</t>
  </si>
  <si>
    <t>CW29 M7 2021</t>
  </si>
  <si>
    <t>CW30 M7 2021</t>
  </si>
  <si>
    <t>CW31 M8 2021</t>
  </si>
  <si>
    <t>CW32 M8 2021</t>
  </si>
  <si>
    <t>CW33 M8 2021</t>
  </si>
  <si>
    <t>CW34 M8 2021</t>
  </si>
  <si>
    <t>CW35 M9 2021</t>
  </si>
  <si>
    <t>CW36 M9 2021</t>
  </si>
  <si>
    <t>CW37 M9 2021</t>
  </si>
  <si>
    <t>CW38 M9 2021</t>
  </si>
  <si>
    <t>CW39 M9 2021</t>
  </si>
  <si>
    <t>CW40 M10 2021</t>
  </si>
  <si>
    <t>CW41 M10 2021</t>
  </si>
  <si>
    <t>CW42 M10 2021</t>
  </si>
  <si>
    <t>CW43 M10 2021</t>
  </si>
  <si>
    <t>CW44 M11 2021</t>
  </si>
  <si>
    <t>CW45 M11 2021</t>
  </si>
  <si>
    <t>CW46 M11 2021</t>
  </si>
  <si>
    <t>CW47 M11 2021</t>
  </si>
  <si>
    <t>CW48 M12 2021</t>
  </si>
  <si>
    <t>CW49 M12 2021</t>
  </si>
  <si>
    <t>CW50 M12 2021</t>
  </si>
  <si>
    <t>CW51 M12 2021</t>
  </si>
  <si>
    <t>CW52 M12 2021</t>
  </si>
  <si>
    <t>CW01 M1 2022</t>
  </si>
  <si>
    <t>CW02 M1 2022</t>
  </si>
  <si>
    <t>CW03 M1 2022</t>
  </si>
  <si>
    <t>CW04 M1 2022</t>
  </si>
  <si>
    <t>CW05 M2 2022</t>
  </si>
  <si>
    <t>CW06 M2 2022</t>
  </si>
  <si>
    <t>CW07 M2 2022</t>
  </si>
  <si>
    <t>CW08 M2 2022</t>
  </si>
  <si>
    <t>CW09 M3 2022</t>
  </si>
  <si>
    <t>CW10 M3 2022</t>
  </si>
  <si>
    <t>CW11 M3 2022</t>
  </si>
  <si>
    <t>CW12 M3 2022</t>
  </si>
  <si>
    <t>CW13 M3 2022</t>
  </si>
  <si>
    <t>CW14 M4 2022</t>
  </si>
  <si>
    <t>CW15 M4 2022</t>
  </si>
  <si>
    <t>CW16 M4 2022</t>
  </si>
  <si>
    <t>CW17 M4 2022</t>
  </si>
  <si>
    <t>CW18 M5 2022</t>
  </si>
  <si>
    <t>CW19 M5 2022</t>
  </si>
  <si>
    <t>CW20 M5 2022</t>
  </si>
  <si>
    <t>CW21 M5 2022</t>
  </si>
  <si>
    <t>CW22 M6 2022</t>
  </si>
  <si>
    <t>CW23 M6 2022</t>
  </si>
  <si>
    <t>CW24 M6 2022</t>
  </si>
  <si>
    <t>CW25 M6 2022</t>
  </si>
  <si>
    <t>CW26 M6 2022</t>
  </si>
  <si>
    <t>CW27 M7 2022</t>
  </si>
  <si>
    <t>CW28 M7 2022</t>
  </si>
  <si>
    <t>CW29 M7 2022</t>
  </si>
  <si>
    <t>CW30 M7 2022</t>
  </si>
  <si>
    <t>CW31 M8 2022</t>
  </si>
  <si>
    <t>CW32 M8 2022</t>
  </si>
  <si>
    <t>CW33 M8 2022</t>
  </si>
  <si>
    <t>CW34 M8 2022</t>
  </si>
  <si>
    <t>CW35 M9 2022</t>
  </si>
  <si>
    <t>CW36 M9 2022</t>
  </si>
  <si>
    <t>CW37 M9 2022</t>
  </si>
  <si>
    <t>CW38 M9 2022</t>
  </si>
  <si>
    <t>CW39 M9 2022</t>
  </si>
  <si>
    <t>CW40 M10 2022</t>
  </si>
  <si>
    <t>CW41 M10 2022</t>
  </si>
  <si>
    <t>CW42 M10 2022</t>
  </si>
  <si>
    <t>CW43 M10 2022</t>
  </si>
  <si>
    <t>CW44 M11 2022</t>
  </si>
  <si>
    <t>CW45 M11 2022</t>
  </si>
  <si>
    <t>CW46 M11 2022</t>
  </si>
  <si>
    <t>CW47 M11 2022</t>
  </si>
  <si>
    <t>CW48 M12 2022</t>
  </si>
  <si>
    <t>CW49 M12 2022</t>
  </si>
  <si>
    <t>CW50 M12 2022</t>
  </si>
  <si>
    <t>CW51 M12 2022</t>
  </si>
  <si>
    <t>CW52 M12 2022</t>
  </si>
  <si>
    <t>CW01 M1 2023</t>
  </si>
  <si>
    <t>CW02 M1 2023</t>
  </si>
  <si>
    <t>CW03 M1 2023</t>
  </si>
  <si>
    <t>CW04 M1 2023</t>
  </si>
  <si>
    <t>CW05 M2 2023</t>
  </si>
  <si>
    <t>CW06 M2 2023</t>
  </si>
  <si>
    <t>CW07 M2 2023</t>
  </si>
  <si>
    <t>CW08 M2 2023</t>
  </si>
  <si>
    <t>CW09 M3 2023</t>
  </si>
  <si>
    <t>CW10 M3 2023</t>
  </si>
  <si>
    <t>CW11 M3 2023</t>
  </si>
  <si>
    <t>CW12 M3 2023</t>
  </si>
  <si>
    <t>CW13 M3 2023</t>
  </si>
  <si>
    <t>CW14 M4 2023</t>
  </si>
  <si>
    <t>CW15 M4 2023</t>
  </si>
  <si>
    <t>CW16 M4 2023</t>
  </si>
  <si>
    <t>CW17 M4 2023</t>
  </si>
  <si>
    <t>CW18 M5 2023</t>
  </si>
  <si>
    <t>Ex-Post Fcst Qty</t>
  </si>
  <si>
    <t>Actuals Qty Adj.</t>
  </si>
  <si>
    <t>Residuals FC-DEL</t>
  </si>
  <si>
    <t>Statistical Fcst Qty</t>
  </si>
  <si>
    <t>Sheet2_OFFLINE</t>
  </si>
  <si>
    <t xml:space="preserve">Offline Parameters Columns Count  </t>
  </si>
  <si>
    <t>2</t>
  </si>
  <si>
    <t>dataTopLeftRow</t>
  </si>
  <si>
    <t>5</t>
  </si>
  <si>
    <t>dataTopLeftColumn</t>
  </si>
  <si>
    <t>1</t>
  </si>
  <si>
    <t>maxRows</t>
  </si>
  <si>
    <t>73</t>
  </si>
  <si>
    <t>maxColumns</t>
  </si>
  <si>
    <t>114</t>
  </si>
  <si>
    <t>topLeft</t>
  </si>
  <si>
    <t>K6</t>
  </si>
  <si>
    <t>caMembers</t>
  </si>
  <si>
    <t>[PERIODID4].[].[200383]_x000D_
[PERIODID4].[].[200384]_x000D_
[PERIODID4].[].[200385]_x000D_
[PERIODID4].[].[200386]_x000D_
[PERIODID4].[].[200387]_x000D_
[PERIODID4].[].[200388]_x000D_
[PERIODID4].[].[200389]_x000D_
[PERIODID4].[].[200390]_x000D_
[PERIODID4].[].[200391]_x000D_
[PERIODID4].[].[200392]_x000D_
[PERIODID4].[].[200393]_x000D_
[PERIODID4].[].[200394]_x000D_
[PERIODID4].[].[200395]_x000D_
[PERIODID4].[].[200396]_x000D_
[PERIODID4].[].[200397]_x000D_
[PERIODID4].[].[200398]_x000D_
[PERIODID4].[].[200399]_x000D_
[PERIODID4].[].[200400]_x000D_
[PERIODID4].[].[200401]_x000D_
[PERIODID4].[].[200402]_x000D_
[PERIODID4].[].[200403]_x000D_
[PERIODID4].[].[200404]_x000D_
[PERIODID4].[].[200405]_x000D_
[PERIODID4].[].[200406]_x000D_
[PERIODID4].[].[200407]_x000D_
[PERIODID4].[].[200408]_x000D_
[PERIODID4].[].[200409]_x000D_
[PERIODID4].[].[200410]_x000D_
[PERIODID4].[].[200411]_x000D_
[PERIODID4].[].[200412]_x000D_
[PERIODID4].[].[200413]_x000D_
[PERIODID4].[].[200414]_x000D_
[PERIODID4].[].[200415]_x000D_
[PERIODID4].[].[200416]_x000D_
[PERIODID4].[].[200417]_x000D_
[PERIODID4].[].[200418]_x000D_
[PERIODID4].[].[200419]_x000D_
[PERIODID4].[].[200420]_x000D_
[PERIODID4].[].[200421]_x000D_
[PERIODID4].[].[200422]_x000D_
[PERIODID4].[].[200423]_x000D_
[PERIODID4].[].[200424]_x000D_
[PERIODID4].[].[200425]_x000D_
[PERIODID4].[].[200426]_x000D_
[PERIODID4].[].[200427]_x000D_
[PERIODID4].[].[200428]_x000D_
[PERIODID4].[].[200429]_x000D_
[PERIODID4].[].[200430]_x000D_
[PERIODID4].[].[200431]_x000D_
[PERIODID4].[].[200432]_x000D_
[PERIODID4].[].[200433]_x000D_
[PERIODID4].[].[200434]_x000D_
[PERIODID4].[].[200435]_x000D_
[PERIODID4].[].[200436]_x000D_
[PERIODID4].[].[200437]_x000D_
[PERIODID4].[].[200438]_x000D_
[PERIODID4].[].[200439]_x000D_
[PERIODID4].[].[200440]_x000D_
[PERIODID4].[].[200441]_x000D_
[PERIODID4].[].[200442]_x000D_
[PERIODID4].[].[200443]_x000D_
[PERIODID4].[].[200444]_x000D_
[PERIODID4].[].[200445]_x000D_
[PERIODID4].[].[200446]_x000D_
[PERIODID4].[].[200447]_x000D_
[PERIODID4].[].[200448]_x000D_
[PERIODID4].[].[200449]_x000D_
[PERIODID4].[].[200450]_x000D_
[PERIODID4].[].[200451]_x000D_
[PERIODID4].[].[200452]_x000D_
[PERIODID4].[].[200453]_x000D_
[PERIODID4].[].[200454]_x000D_
[PERIODID4].[].[200455]_x000D_
[PERIODID4].[].[200456]_x000D_
[PERIODID4].[].[200457]_x000D_
[PERIODID4].[].[200458]_x000D_
[PERIODID4].[].[200459]_x000D_
[PERIODID4].[].[200460]_x000D_
[PERIODID4].[].[200461]_x000D_
[PERIODID4].[].[200462]_x000D_
[PERIODID4].[].[200463]_x000D_
[PERIODID4].[].[200464]_x000D_
[PERIODID4].[].[200465]_x000D_
[PERIODID4].[].[200466]_x000D_
[PERIODID4].[].[200467]_x000D_
[PERIODID4].[].[200468]_x000D_
[PERIODID4].[].[200469]_x000D_
[PERIODID4].[].[200470]_x000D_
[PERIODID4].[].[200471]_x000D_
[PERIODID4].[].[200472]_x000D_
[PERIODID4].[].[200473]_x000D_
[PERIODID4].[].[200474]_x000D_
[PERIODID4].[].[200475]_x000D_
[PERIODID4].[].[200476]_x000D_
[PERIODID4].[].[200477]_x000D_
[PERIODID4].[].[200478]_x000D_
[PERIODID4].[].[200479]_x000D_
[PERIODID4].[].[200480]_x000D_
[PERIODID4].[].[200481]_x000D_
[PERIODID4].[].[200482]_x000D_
[PERIODID4].[].[200483]_x000D_
[PERIODID4].[].[200484]_x000D_
[PERIODID4].[].[200485]_x000D_
[PERIODID4].[].[200486]</t>
  </si>
  <si>
    <t/>
  </si>
  <si>
    <t>raMembers</t>
  </si>
  <si>
    <t>[PRDID].[].[FG126]_x000D_
[LOCID].[].[1710]_x000D_
[CUSTID].[].[0017100002]_x000D_
[KEY_FIGURES].[].[STATISTICALEXPOSTFORECASTQTY]_x000D_
[PRDID].[].[FG126]_x000D_
[LOCID].[].[1710]_x000D_
[CUSTID].[].[0017100002]_x000D_
[KEY_FIGURES].[].[ADJUSTEDACTUALSQTY]_x000D_
[PRDID].[].[FG126]_x000D_
[LOCID].[].[1710]_x000D_
[CUSTID].[].[0017100002]_x000D_
[KEY_FIGURES].[].[RESIDUALEXPOSTFCSTACTUALSADJ]_x000D_
[PRDID].[].[FG126]_x000D_
[LOCID].[].[1710]_x000D_
[CUSTID].[].[0017100002]_x000D_
[KEY_FIGURES].[].[STATISTICALFORECASTQTY]_x000D_
[PRDID].[].[FG126]_x000D_
[LOCID].[].[3710]_x000D_
[CUSTID].[].[0037100001]_x000D_
[KEY_FIGURES].[].[STATISTICALEXPOSTFORECASTQTY]_x000D_
[PRDID].[].[FG126]_x000D_
[LOCID].[].[3710]_x000D_
[CUSTID].[].[0037100001]_x000D_
[KEY_FIGURES].[].[ADJUSTEDACTUALSQTY]_x000D_
[PRDID].[].[FG126]_x000D_
[LOCID].[].[3710]_x000D_
[CUSTID].[].[0037100001]_x000D_
[KEY_FIGURES].[].[RESIDUALEXPOSTFCSTACTUALSADJ]_x000D_
[PRDID].[].[FG126]_x000D_
[LOCID].[].[3710]_x000D_
[CUSTID].[].[0037100001]_x000D_
[KEY_FIGURES].[].[STATISTICALFORECASTQTY]_x000D_
[PRDID].[].[FG126]_x000D_
[LOCID].[].[3710]_x000D_
[CUSTID].[].[0037100002]_x000D_
[KEY_FIGURES].[].[STATISTICALEXPOSTFORECASTQTY]_x000D_
[PRDID].[].[FG126]_x000D_
[LOCID].[].[3710]_x000D_
[CUSTID].[].[0037100002]_x000D_
[KEY_FIGURES].[].[ADJUSTEDACTUALSQTY]_x000D_
[PRDID].[].[FG126]_x000D_
[LOCID].[].[3710]_x000D_
[CUSTID].[].[0037100002]_x000D_
[KEY_FIGURES].[].[RESIDUALEXPOSTFCSTACTUALSADJ]_x000D_
[PRDID].[].[FG126]_x000D_
[LOCID].[].[3710]_x000D_
[CUSTID].[].[0037100002]_x000D_
[KEY_FIGURES].[].[STATISTICALFORECASTQTY]_x000D_
[PRDID].[].[FG126]_x000D_
[LOCID].[].[6210]_x000D_
[CUSTID].[].[0062100001]_x000D_
[KEY_FIGURES].[].[STATISTICALEXPOSTFORECASTQTY]_x000D_
[PRDID].[].[FG126]_x000D_
[LOCID].[].[6210]_x000D_
[CUSTID].[].[0062100001]_x000D_
[KEY_FIGURES].[].[ADJUSTEDACTUALSQTY]_x000D_
[PRDID].[].[FG126]_x000D_
[LOCID].[].[6210]_x000D_
[CUSTID].[].[0062100001]_x000D_
[KEY_FIGURES].[].[RESIDUALEXPOSTFCSTACTUALSADJ]_x000D_
[PRDID].[].[FG126]_x000D_
[LOCID].[].[6210]_x000D_
[CUSTID].[].[0062100001]_x000D_
[KEY_FIGURES].[].[STATISTICALFORECASTQTY]_x000D_
[PRDID].[].[FG126]_x000D_
[LOCID].[].[6210]_x000D_
[CUSTID].[].[0062100003]_x000D_
[KEY_FIGURES].[].[STATISTICALEXPOSTFORECASTQTY]_x000D_
[PRDID].[].[FG126]_x000D_
[LOCID].[].[6210]_x000D_
[CUSTID].[].[0062100003]_x000D_
[KEY_FIGURES].[].[ADJUSTEDACTUALSQTY]_x000D_
[PRDID].[].[FG126]_x000D_
[LOCID].[].[6210]_x000D_
[CUSTID].[].[0062100003]_x000D_
[KEY_FIGURES].[].[RESIDUALEXPOSTFCSTACTUALSADJ]_x000D_
[PRDID].[].[FG126]_x000D_
[LOCID].[].[6210]_x000D_
[CUSTID].[].[0062100003]_x000D_
[KEY_FIGURES].[].[STATISTICALFORECASTQTY]_x000D_
[PRDID].[].[IBP-100]_x000D_
[LOCID].[].[1720]_x000D_
[CUSTID].[].[0017100001]_x000D_
[KEY_FIGURES].[].[STATISTICALEXPOSTFORECASTQTY]_x000D_
[PRDID].[].[IBP-100]_x000D_
[LOCID].[].[1720]_x000D_
[CUSTID].[].[0017100001]_x000D_
[KEY_FIGURES].[].[ADJUSTEDACTUALSQTY]_x000D_
[PRDID].[].[IBP-100]_x000D_
[LOCID].[].[1720]_x000D_
[CUSTID].[].[0017100001]_x000D_
[KEY_FIGURES].[].[RESIDUALEXPOSTFCSTACTUALSADJ]_x000D_
[PRDID].[].[IBP-100]_x000D_
[LOCID].[].[1720]_x000D_
[CUSTID].[].[0017100001]_x000D_
[KEY_FIGURES].[].[STATISTICALFORECASTQTY]_x000D_
[PRDID].[].[IBP-100]_x000D_
[LOCID].[].[3710]_x000D_
[CUSTID].[].[0010100001]_x000D_
[KEY_FIGURES].[].[STATISTICALEXPOSTFORECASTQTY]_x000D_
[PRDID].[].[IBP-100]_x000D_
[LOCID].[].[3710]_x000D_
[CUSTID].[].[0010100001]_x000D_
[KEY_FIGURES].[].[ADJUSTEDACTUALSQTY]_x000D_
[PRDID].[].[IBP-100]_x000D_
[LOCID].[].[3710]_x000D_
[CUSTID].[].[0010100001]_x000D_
[KEY_FIGURES].[].[RESIDUALEXPOSTFCSTACTUALSADJ]_x000D_
[PRDID].[].[IBP-100]_x000D_
[LOCID].[].[3710]_x000D_
[CUSTID].[].[0010100001]_x000D_
[KEY_FIGURES].[].[STATISTICALFORECASTQTY]_x000D_
[PRDID].[].[IBP-100]_x000D_
[LOCID].[].[6210]_x000D_
[CUSTID].[].[0018100001]_x000D_
[KEY_FIGURES].[].[STATISTICALEXPOSTFORECASTQTY]_x000D_
[PRDID].[].[IBP-100]_x000D_
[LOCID].[].[6210]_x000D_
[CUSTID].[].[0018100001]_x000D_
[KEY_FIGURES].[].[ADJUSTEDACTUALSQTY]_x000D_
[PRDID].[].[IBP-100]_x000D_
[LOCID].[].[6210]_x000D_
[CUSTID].[].[0018100001]_x000D_
[KEY_FIGURES].[].[RESIDUALEXPOSTFCSTACTUALSADJ]_x000D_
[PRDID].[].[IBP-100]_x000D_
[LOCID].[].[6210]_x000D_
[CUSTID].[].[0018100001]_x000D_
[KEY_FIGURES].[].[STATISTICALFORECASTQTY]_x000D_
[PRDID].[].[IBP-300]_x000D_
[LOCID].[].[1720]_x000D_
[CUSTID].[].[0017100003]_x000D_
[KEY_FIGURES].[].[STATISTICALEXPOSTFORECASTQTY]_x000D_
[PRDID].[].[IBP-300]_x000D_
[LOCID].[].[1720]_x000D_
[CUSTID].[].[0017100003]_x000D_
[KEY_FIGURES].[].[ADJUSTEDACTUALSQTY]_x000D_
[PRDID].[].[IBP-300]_x000D_
[LOCID].[].[1720]_x000D_
[CUSTID].[].[0017100003]_x000D_
[KEY_FIGURES].[].[RESIDUALEXPOSTFCSTACTUALSADJ]_x000D_
[PRDID].[].[IBP-300]_x000D_
[LOCID].[].[1720]_x000D_
[CUSTID].[].[0017100003]_x000D_
[KEY_FIGURES].[].[STATISTICALFORECASTQTY]_x000D_
[PRDID].[].[IBP-300]_x000D_
[LOCID].[].[3710]_x000D_
[CUSTID].[].[0011100001]_x000D_
[KEY_FIGURES].[].[STATISTICALEXPOSTFORECASTQTY]_x000D_
[PRDID].[].[IBP-300]_x000D_
[LOCID].[].[3710]_x000D_
[CUSTID].[].[0011100001]_x000D_
[KEY_FIGURES].[].[ADJUSTEDACTUALSQTY]_x000D_
[PRDID].[].[IBP-300]_x000D_
[LOCID].[].[3710]_x000D_
[CUSTID].[].[0011100001]_x000D_
[KEY_FIGURES].[].[RESIDUALEXPOSTFCSTACTUALSADJ]_x000D_
[PRDID].[].[IBP-300]_x000D_
[LOCID].[].[3710]_x000D_
[CUSTID].[].[0011100001]_x000D_
[KEY_FIGURES].[].[STATISTICALFORECASTQTY]_x000D_
[PRDID].[].[IBP-300]_x000D_
[LOCID].[].[6210]_x000D_
[CUSTID].[].[0013100001]_x000D_
[KEY_FIGURES].[].[STATISTICALEXPOSTFORECASTQTY]_x000D_
[PRDID].[].[IBP-300]_x000D_
[LOCID].[].[6210]_x000D_
[CUSTID].[].[0013100001]_x000D_
[KEY_FIGURES].[].[ADJUSTEDACTUALSQTY]_x000D_
[PRDID].[].[IBP-300]_x000D_
[LOCID].[].[6210]_x000D_
[CUSTID].[].[0013100001]_x000D_
[KEY_FIGURES].[].[RESIDUALEXPOSTFCSTACTUALSADJ]_x000D_
[PRDID].[].[IBP-300]_x000D_
[LOCID].[].[6210]_x000D_
[CUSTID].[].[0013100001]_x000D_
[KEY_FIGURES].[].[STATISTICALFORECASTQTY]_x000D_
[PRDID].[].[IBP-310]_x000D_
[LOCID].[].[1720]_x000D_
[CUSTID].[].[0017100003]_x000D_
[KEY_FIGURES].[].[STATISTICALEXPOSTFORECASTQTY]_x000D_
[PRDID].[].[IBP-310]_x000D_
[LOCID].[].[1720]_x000D_
[CUSTID].[].[0017100003]_x000D_
[KEY_FIGURES].[].[ADJUSTEDACTUALSQTY]_x000D_
[PRDID].[].[IBP-310]_x000D_
[LOCID].[].[1720]_x000D_
[CUSTID].[].[0017100003]_x000D_
[KEY_FIGURES].[].[RESIDUALEXPOSTFCSTACTUALSADJ]_x000D_
[PRDID].[].[IBP-310]_x000D_
[LOCID].[].[1720]_x000D_
[CUSTID].[].[0017100003]_x000D_
[KEY_FIGURES].[].[STATISTICALFORECASTQTY]_x000D_
[PRDID].[].[IBP-310]_x000D_
[LOCID].[].[3710]_x000D_
[CUSTID].[].[0011100001]_x000D_
[KEY_FIGURES].[].[STATISTICALEXPOSTFORECASTQTY]_x000D_
[PRDID].[].[IBP-310]_x000D_
[LOCID].[].[3710]_x000D_
[CUSTID].[].[0011100001]_x000D_
[KEY_FIGURES].[].[ADJUSTEDACTUALSQTY]</t>
  </si>
  <si>
    <t>[PRDID].[].[IBP-310]_x000D_
[LOCID].[].[3710]_x000D_
[CUSTID].[].[0011100001]_x000D_
[KEY_FIGURES].[].[RESIDUALEXPOSTFCSTACTUALSADJ]_x000D_
[PRDID].[].[IBP-310]_x000D_
[LOCID].[].[3710]_x000D_
[CUSTID].[].[0011100001]_x000D_
[KEY_FIGURES].[].[STATISTICALFORECASTQTY]_x000D_
[PRDID].[].[IBP-310]_x000D_
[LOCID].[].[6210]_x000D_
[CUSTID].[].[0013100001]_x000D_
[KEY_FIGURES].[].[STATISTICALEXPOSTFORECASTQTY]_x000D_
[PRDID].[].[IBP-310]_x000D_
[LOCID].[].[6210]_x000D_
[CUSTID].[].[0013100001]_x000D_
[KEY_FIGURES].[].[ADJUSTEDACTUALSQTY]_x000D_
[PRDID].[].[IBP-310]_x000D_
[LOCID].[].[6210]_x000D_
[CUSTID].[].[0013100001]_x000D_
[KEY_FIGURES].[].[RESIDUALEXPOSTFCSTACTUALSADJ]_x000D_
[PRDID].[].[IBP-310]_x000D_
[LOCID].[].[6210]_x000D_
[CUSTID].[].[0013100001]_x000D_
[KEY_FIGURES].[].[STATISTICALFORECASTQTY]_x000D_
[PRDID].[].[TG0011]_x000D_
[LOCID].[].[3710]_x000D_
[CUSTID].[].[0037100001]_x000D_
[KEY_FIGURES].[].[STATISTICALEXPOSTFORECASTQTY]_x000D_
[PRDID].[].[TG0011]_x000D_
[LOCID].[].[3710]_x000D_
[CUSTID].[].[0037100001]_x000D_
[KEY_FIGURES].[].[ADJUSTEDACTUALSQTY]_x000D_
[PRDID].[].[TG0011]_x000D_
[LOCID].[].[3710]_x000D_
[CUSTID].[].[0037100001]_x000D_
[KEY_FIGURES].[].[RESIDUALEXPOSTFCSTACTUALSADJ]_x000D_
[PRDID].[].[TG0011]_x000D_
[LOCID].[].[3710]_x000D_
[CUSTID].[].[0037100001]_x000D_
[KEY_FIGURES].[].[STATISTICALFORECASTQTY]_x000D_
[PRDID].[].[TG0011]_x000D_
[LOCID].[].[3710]_x000D_
[CUSTID].[].[0037100002]_x000D_
[KEY_FIGURES].[].[STATISTICALEXPOSTFORECASTQTY]_x000D_
[PRDID].[].[TG0011]_x000D_
[LOCID].[].[3710]_x000D_
[CUSTID].[].[0037100002]_x000D_
[KEY_FIGURES].[].[ADJUSTEDACTUALSQTY]_x000D_
[PRDID].[].[TG0011]_x000D_
[LOCID].[].[3710]_x000D_
[CUSTID].[].[0037100002]_x000D_
[KEY_FIGURES].[].[RESIDUALEXPOSTFCSTACTUALSADJ]_x000D_
[PRDID].[].[TG0011]_x000D_
[LOCID].[].[3710]_x000D_
[CUSTID].[].[0037100002]_x000D_
[KEY_FIGURES].[].[STATISTICALFORECASTQTY]_x000D_
[PRDID].[].[TG0011]_x000D_
[LOCID].[].[6210]_x000D_
[CUSTID].[].[0062100001]_x000D_
[KEY_FIGURES].[].[STATISTICALEXPOSTFORECASTQTY]_x000D_
[PRDID].[].[TG0011]_x000D_
[LOCID].[].[6210]_x000D_
[CUSTID].[].[0062100001]_x000D_
[KEY_FIGURES].[].[ADJUSTEDACTUALSQTY]_x000D_
[PRDID].[].[TG0011]_x000D_
[LOCID].[].[6210]_x000D_
[CUSTID].[].[0062100001]_x000D_
[KEY_FIGURES].[].[RESIDUALEXPOSTFCSTACTUALSADJ]_x000D_
[PRDID].[].[TG0011]_x000D_
[LOCID].[].[6210]_x000D_
[CUSTID].[].[0062100001]_x000D_
[KEY_FIGURES].[].[STATISTICALFORECASTQTY]_x000D_
[PRDID].[].[TG0011]_x000D_
[LOCID].[].[6210]_x000D_
[CUSTID].[].[0062100003]_x000D_
[KEY_FIGURES].[].[STATISTICALEXPOSTFORECASTQTY]_x000D_
[PRDID].[].[TG0011]_x000D_
[LOCID].[].[6210]_x000D_
[CUSTID].[].[0062100003]_x000D_
[KEY_FIGURES].[].[ADJUSTEDACTUALSQTY]_x000D_
[PRDID].[].[TG0011]_x000D_
[LOCID].[].[6210]_x000D_
[CUSTID].[].[0062100003]_x000D_
[KEY_FIGURES].[].[RESIDUALEXPOSTFCSTACTUALSADJ]_x000D_
[PRDID].[].[TG0011]_x000D_
[LOCID].[].[6210]_x000D_
[CUSTID].[].[0062100003]_x000D_
[KEY_FIGURES].[].[STATISTICALFORECASTQTY]</t>
  </si>
  <si>
    <t>caHeight</t>
  </si>
  <si>
    <t>caShift</t>
  </si>
  <si>
    <t>raShift</t>
  </si>
  <si>
    <t>raWidth</t>
  </si>
  <si>
    <t>4</t>
  </si>
  <si>
    <t>rptWidth</t>
  </si>
  <si>
    <t>104</t>
  </si>
  <si>
    <t>Sheet4_SERIES</t>
  </si>
  <si>
    <t>= EPMOlapMemberO("[KEY_FIGURES].[].[ADJUSTEDACTUALSQTY]","","Actuals Qty Adj.","","000")_x000D_
= EPMOlapMemberO("[KEY_FIGURES].[].[EXPOSTBASEFCSTQTY]","","Ex-Post Base Forecast Qty","","000")_x000D_
= EPMOlapMemberO("[KEY_FIGURES].[].[STATISTICALEXPOSTFORECASTQTY]","","Ex-Post Fcst Qty","","000")_x000D_
= EPMOlapMemberO("[KEY_FIGURES].[].[BASEFCSTQTY]","","Base Forecast Qty","","000")_x000D_
= EPMOlapMemberO("[KEY_FIGURES].[].[STATISTICALFORECASTQTY]","","Statistical Fcst Qty","","000")_x000D_
= EPMOlapMemberO("[KEY_FIGURES].[].[EXPOSTEVENTIMPACT]","","Ex-Post Event Impact","","000")_x000D_
= EPMOlapMemberO("[KEY_FIGURES].[].[EXPOSTMARKETINGBUDGETIMPACT]","","Ex-Post Marketing Budget Impact","","000")_x000D_
= EPMOlapMemberO("[KEY_FIGURES].[].[EVENTIMPACT]","","Event Impact","","000")_x000D_
= EPMOlapMemberO("[KEY_FIGURES].[].[MARKETINGBUDGETIMPACT]","","Marketing Budget Impact","","000")</t>
  </si>
  <si>
    <t>Sheet4_FILTER</t>
  </si>
  <si>
    <t>Sheet4_CHART</t>
  </si>
  <si>
    <t>Ex-Post Base Forecast Qty</t>
  </si>
  <si>
    <t>Base Forecast Qty</t>
  </si>
  <si>
    <t>Ex-Post Event Impact</t>
  </si>
  <si>
    <t>Ex-Post Marketing Budget Impact</t>
  </si>
  <si>
    <t>Event Impact</t>
  </si>
  <si>
    <t>Marketing Budget Impact</t>
  </si>
  <si>
    <t>Sheet4_OFFLINE</t>
  </si>
  <si>
    <t>12</t>
  </si>
  <si>
    <t>[PRDID].[].[IBP-120]_x000D_
[LOCID].[].[3710]_x000D_
[CUSTID].[].[0010100001]_x000D_
[KEY_FIGURES].[].[ADJUSTEDACTUALSQTY]_x000D_
[PRDID].[].[IBP-120]_x000D_
[LOCID].[].[3710]_x000D_
[CUSTID].[].[0010100001]_x000D_
[KEY_FIGURES].[].[CALEVENT]_x000D_
[PRDID].[].[IBP-120]_x000D_
[LOCID].[].[3710]_x000D_
[CUSTID].[].[0010100001]_x000D_
[KEY_FIGURES].[].[MARKETINGBUDGET]_x000D_
[PRDID].[].[IBP-120]_x000D_
[LOCID].[].[3710]_x000D_
[CUSTID].[].[0010100001]_x000D_
[KEY_FIGURES].[].[EXPOSTEVENTIMPACT]_x000D_
[PRDID].[].[IBP-120]_x000D_
[LOCID].[].[3710]_x000D_
[CUSTID].[].[0010100001]_x000D_
[KEY_FIGURES].[].[EXPOSTMARKETINGBUDGETIMPACT]_x000D_
[PRDID].[].[IBP-120]_x000D_
[LOCID].[].[3710]_x000D_
[CUSTID].[].[0010100001]_x000D_
[KEY_FIGURES].[].[EXPOSTBASEFCSTQTY]_x000D_
[PRDID].[].[IBP-120]_x000D_
[LOCID].[].[3710]_x000D_
[CUSTID].[].[0010100001]_x000D_
[KEY_FIGURES].[].[STATISTICALEXPOSTFORECASTQTY]_x000D_
[PRDID].[].[IBP-120]_x000D_
[LOCID].[].[3710]_x000D_
[CUSTID].[].[0010100001]_x000D_
[KEY_FIGURES].[].[EVENTIMPACT]_x000D_
[PRDID].[].[IBP-120]_x000D_
[LOCID].[].[3710]_x000D_
[CUSTID].[].[0010100001]_x000D_
[KEY_FIGURES].[].[MARKETINGBUDGETIMPACT]_x000D_
[PRDID].[].[IBP-120]_x000D_
[LOCID].[].[3710]_x000D_
[CUSTID].[].[0010100001]_x000D_
[KEY_FIGURES].[].[BASEFCSTQTY]_x000D_
[PRDID].[].[IBP-120]_x000D_
[LOCID].[].[3710]_x000D_
[CUSTID].[].[0010100001]_x000D_
[KEY_FIGURES].[].[STATISTICALFORECASTQTY]</t>
  </si>
  <si>
    <t>IBP Formatting Sheet</t>
  </si>
  <si>
    <t>Version_1_1</t>
  </si>
  <si>
    <t>Note: The format settings in lower sections overrides the ones in upper section if there are conflicts.</t>
  </si>
  <si>
    <t>Default Formatting</t>
  </si>
  <si>
    <t>Help</t>
  </si>
  <si>
    <t>Formatting and "Use" Column:</t>
  </si>
  <si>
    <t>Column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</si>
  <si>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</si>
  <si>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Data</t>
  </si>
  <si>
    <t>Use</t>
  </si>
  <si>
    <t>Header</t>
  </si>
  <si>
    <t>Default Format</t>
  </si>
  <si>
    <t>None</t>
  </si>
  <si>
    <t>Label</t>
  </si>
  <si>
    <t>All</t>
  </si>
  <si>
    <t>Row</t>
  </si>
  <si>
    <t>Priority to Row or Column</t>
  </si>
  <si>
    <t>Dimension Member/Property Formatting</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</si>
  <si>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</si>
  <si>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Default Format for Non-Editable Cells</t>
  </si>
  <si>
    <t>Default Format for Editable Cells</t>
  </si>
  <si>
    <t>FontColorIndex | Pattern</t>
  </si>
  <si>
    <t>Local Member Default Format</t>
  </si>
  <si>
    <t>Changed Member Default Format</t>
  </si>
  <si>
    <t>Pattern</t>
  </si>
  <si>
    <t>Formatting on Specific Member/Property:</t>
  </si>
  <si>
    <t>Total Member</t>
  </si>
  <si>
    <t>FontBold | FontColorIndex</t>
  </si>
  <si>
    <t>FontBold</t>
  </si>
  <si>
    <t xml:space="preserve">PERIODID.Time Level = TOTAL </t>
  </si>
  <si>
    <t>FontBold | FontColorIndex | Pattern</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</si>
  <si>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</si>
  <si>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</si>
  <si>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</si>
  <si>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</si>
  <si>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</si>
  <si>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</si>
  <si>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Row and Column Banding</t>
  </si>
  <si>
    <t>Odd Formatting</t>
  </si>
  <si>
    <t>Even Formatting</t>
  </si>
  <si>
    <t>Integrated Business Planning
Filters: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</si>
</sst>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1"/>
      <color rgb="FF000000"/>
      <name val="Calibri"/>
      <family val="2"/>
      <scheme val="minor"/>
    </font>
  </fonts>
  <fills count="19">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
      <patternFill patternType="solid">
        <fgColor rgb="FFFFFFFF"/>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auto="1"/>
      </bottom>
      <diagonal/>
    </border>
    <border>
      <left style="thin">
        <color indexed="64"/>
      </left>
      <right style="thin">
        <color indexed="64"/>
      </right>
      <top/>
      <bottom style="medium">
        <color auto="1"/>
      </bottom>
      <diagonal/>
    </border>
    <border>
      <left/>
      <right/>
      <top/>
      <bottom style="medium">
        <color auto="1"/>
      </bottom>
      <diagonal/>
    </border>
    <border>
      <left/>
      <right style="thin">
        <color indexed="64"/>
      </right>
      <top/>
      <bottom style="medium">
        <color auto="1"/>
      </bottom>
      <diagonal/>
    </border>
    <border>
      <left/>
      <right style="medium">
        <color indexed="64"/>
      </right>
      <top/>
      <bottom style="medium">
        <color auto="1"/>
      </bottom>
      <diagonal/>
    </border>
  </borders>
  <cellStyleXfs count="2">
    <xf numFmtId="0" fontId="0" fillId="0" borderId="0"/>
    <xf numFmtId="0" fontId="12" fillId="8" borderId="0" applyNumberFormat="0" applyBorder="0" applyAlignment="0" applyProtection="0"/>
  </cellStyleXfs>
  <cellXfs count="104">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1" borderId="0" xfId="0" applyFont="1" applyFill="1" applyAlignment="1">
      <alignment horizontal="center"/>
    </xf>
    <xf numFmtId="0" fontId="1" fillId="0" borderId="19" xfId="0" applyFont="1" applyBorder="1" applyAlignment="1" applyProtection="1">
      <alignment horizontal="left" vertical="center"/>
      <protection locked="0"/>
    </xf>
    <xf numFmtId="0" fontId="1" fillId="0" borderId="23" xfId="0" applyFont="1" applyBorder="1" applyAlignment="1">
      <alignment horizontal="center"/>
    </xf>
    <xf numFmtId="0" fontId="1" fillId="0" borderId="25" xfId="0" applyFont="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10" fillId="0" borderId="0" xfId="0" applyFont="1" applyAlignment="1" applyProtection="1">
      <alignment horizontal="left" vertical="center"/>
      <protection locked="0"/>
    </xf>
    <xf numFmtId="3" fontId="10" fillId="7" borderId="0" xfId="0" applyNumberFormat="1" applyFont="1" applyFill="1" applyAlignment="1" applyProtection="1">
      <alignment horizontal="right" vertical="center"/>
      <protection locked="0"/>
    </xf>
    <xf numFmtId="0" fontId="0" fillId="6" borderId="0" xfId="0" applyFill="1"/>
    <xf numFmtId="0" fontId="9" fillId="10" borderId="0" xfId="0" applyFont="1" applyFill="1" applyAlignment="1">
      <alignment horizontal="left" vertical="center"/>
    </xf>
    <xf numFmtId="0" fontId="12" fillId="10" borderId="0" xfId="0" applyFont="1" applyFill="1"/>
    <xf numFmtId="0" fontId="12" fillId="10" borderId="0" xfId="1" applyFill="1" applyBorder="1" applyAlignment="1"/>
    <xf numFmtId="0" fontId="9" fillId="11" borderId="0" xfId="0" applyFont="1" applyFill="1"/>
    <xf numFmtId="0" fontId="0" fillId="11" borderId="0" xfId="0" applyFill="1"/>
    <xf numFmtId="3" fontId="10" fillId="9" borderId="0" xfId="0" applyNumberFormat="1" applyFont="1" applyFill="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0" fontId="4" fillId="0" borderId="9" xfId="0" applyFont="1" applyBorder="1" applyAlignment="1">
      <alignment horizontal="left" vertical="center"/>
    </xf>
    <xf numFmtId="0" fontId="13" fillId="0" borderId="0" xfId="0" quotePrefix="1" applyFont="1" applyAlignment="1">
      <alignment horizontal="left" vertical="center"/>
    </xf>
    <xf numFmtId="0" fontId="9" fillId="11" borderId="0" xfId="0" applyFont="1" applyFill="1" applyAlignment="1" applyProtection="1">
      <alignment horizontal="right" vertical="center"/>
      <protection locked="0"/>
    </xf>
    <xf numFmtId="0" fontId="15" fillId="0" borderId="0" xfId="0" applyFont="1" applyAlignment="1">
      <alignment horizontal="center"/>
    </xf>
    <xf numFmtId="0" fontId="12" fillId="10" borderId="0" xfId="0" applyFont="1" applyFill="1" applyAlignment="1">
      <alignment horizontal="right" vertical="center"/>
    </xf>
    <xf numFmtId="3" fontId="20" fillId="9" borderId="0" xfId="0" applyNumberFormat="1" applyFont="1" applyFill="1" applyAlignment="1" applyProtection="1">
      <alignment horizontal="right" vertical="center"/>
      <protection locked="0"/>
    </xf>
    <xf numFmtId="0" fontId="0" fillId="0" borderId="0" xfId="0" applyAlignment="1">
      <alignment horizontal="center"/>
    </xf>
    <xf numFmtId="0" fontId="0" fillId="0" borderId="23" xfId="0" applyBorder="1" applyAlignment="1">
      <alignment horizontal="center"/>
    </xf>
    <xf numFmtId="0" fontId="0" fillId="1" borderId="0" xfId="0" applyFill="1" applyAlignment="1">
      <alignment horizontal="center"/>
    </xf>
    <xf numFmtId="0" fontId="0" fillId="1" borderId="1" xfId="0" applyFill="1" applyBorder="1" applyAlignment="1">
      <alignment horizontal="center"/>
    </xf>
    <xf numFmtId="0" fontId="0" fillId="0" borderId="0" xfId="0" applyAlignment="1" applyProtection="1">
      <alignment horizontal="right" vertical="center"/>
      <protection locked="0"/>
    </xf>
    <xf numFmtId="0" fontId="0" fillId="0" borderId="0" xfId="0" applyAlignment="1" applyProtection="1">
      <alignment horizontal="left" vertical="center"/>
      <protection locked="0"/>
    </xf>
    <xf numFmtId="0" fontId="22" fillId="0" borderId="0" xfId="0" applyFont="1" applyAlignment="1" applyProtection="1">
      <alignment horizontal="left" vertical="center"/>
      <protection locked="0"/>
    </xf>
    <xf numFmtId="0" fontId="21" fillId="0" borderId="0" xfId="0" applyFont="1" applyAlignment="1" applyProtection="1">
      <alignment horizontal="left" vertical="center"/>
      <protection locked="0"/>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0" fontId="21" fillId="0" borderId="0" xfId="0" applyFont="1" applyAlignment="1" applyProtection="1">
      <alignment horizontal="right" vertical="center"/>
      <protection locked="0"/>
    </xf>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1" fillId="0" borderId="12" xfId="0" applyFont="1" applyBorder="1" applyAlignment="1">
      <alignment horizontal="center"/>
    </xf>
    <xf numFmtId="0" fontId="4" fillId="0" borderId="0" xfId="0" applyFont="1" applyAlignment="1">
      <alignment horizontal="left" vertic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7" xfId="0" applyFont="1" applyBorder="1" applyAlignment="1" applyProtection="1">
      <alignment horizontal="left" vertical="center"/>
      <protection locked="0"/>
    </xf>
    <xf numFmtId="3" fontId="23" fillId="18" borderId="0" xfId="0" applyNumberFormat="1" applyFont="1" applyFill="1" applyAlignment="1" applyProtection="1">
      <alignment horizontal="right" vertical="center"/>
      <protection locked="0"/>
    </xf>
    <xf numFmtId="0" fontId="0" fillId="0" borderId="0" xfId="0" quotePrefix="1" applyAlignment="1">
      <alignment wrapText="1"/>
    </xf>
    <xf numFmtId="0" fontId="0" fillId="0" borderId="0" xfId="0" quotePrefix="1"/>
    <xf numFmtId="3" fontId="0" fillId="6" borderId="0" xfId="0" applyNumberFormat="1" applyFill="1" applyAlignment="1" applyProtection="1">
      <alignment horizontal="right" vertical="center"/>
      <protection locked="0"/>
    </xf>
    <xf numFmtId="0" fontId="1" fillId="0" borderId="31" xfId="0" applyFont="1" applyBorder="1" applyAlignment="1">
      <alignment horizontal="center"/>
    </xf>
    <xf numFmtId="0" fontId="1" fillId="1" borderId="31" xfId="0" applyFont="1" applyFill="1" applyBorder="1" applyAlignment="1">
      <alignment horizontal="center"/>
    </xf>
    <xf numFmtId="0" fontId="0" fillId="1" borderId="31" xfId="0" applyFill="1" applyBorder="1" applyAlignment="1">
      <alignment horizontal="center"/>
    </xf>
    <xf numFmtId="0" fontId="1" fillId="0" borderId="32" xfId="0" applyFont="1" applyBorder="1" applyAlignment="1">
      <alignment horizontal="center"/>
    </xf>
    <xf numFmtId="0" fontId="1" fillId="0" borderId="33" xfId="0" applyFont="1" applyBorder="1" applyAlignment="1">
      <alignment horizontal="center"/>
    </xf>
    <xf numFmtId="0" fontId="1" fillId="0" borderId="30" xfId="0" applyFont="1" applyBorder="1" applyAlignment="1">
      <alignment horizontal="center"/>
    </xf>
    <xf numFmtId="0" fontId="8" fillId="0" borderId="12" xfId="0" applyFont="1" applyBorder="1" applyAlignment="1" applyProtection="1">
      <alignment horizontal="left" vertical="top" wrapText="1"/>
      <protection locked="0"/>
    </xf>
    <xf numFmtId="0" fontId="5" fillId="3" borderId="26" xfId="0" applyFont="1" applyFill="1" applyBorder="1" applyAlignment="1">
      <alignment horizontal="center" vertical="center"/>
    </xf>
    <xf numFmtId="0" fontId="5" fillId="3" borderId="23" xfId="0" applyFont="1" applyFill="1" applyBorder="1" applyAlignment="1">
      <alignment horizontal="center" vertical="center"/>
    </xf>
    <xf numFmtId="0" fontId="5" fillId="3" borderId="25" xfId="0" applyFont="1" applyFill="1" applyBorder="1" applyAlignment="1">
      <alignment horizontal="center" vertical="center"/>
    </xf>
    <xf numFmtId="0" fontId="1" fillId="0" borderId="27"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8" xfId="0" applyFont="1" applyFill="1" applyBorder="1" applyAlignment="1" applyProtection="1">
      <alignment horizontal="center" vertical="center"/>
      <protection hidden="1"/>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8" xfId="0" applyFont="1" applyBorder="1" applyAlignment="1">
      <alignment horizontal="center"/>
    </xf>
    <xf numFmtId="0" fontId="6" fillId="5" borderId="24" xfId="0" applyFont="1" applyFill="1" applyBorder="1" applyAlignment="1" applyProtection="1">
      <alignment horizontal="center" vertical="center"/>
      <protection hidden="1"/>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9" xfId="0" applyFont="1" applyFill="1" applyBorder="1" applyAlignment="1" applyProtection="1">
      <alignment horizontal="center" vertical="center"/>
      <protection hidden="1"/>
    </xf>
    <xf numFmtId="0" fontId="1" fillId="0" borderId="30" xfId="0" applyFont="1" applyBorder="1" applyAlignment="1">
      <alignment horizontal="center"/>
    </xf>
    <xf numFmtId="0" fontId="0" fillId="6" borderId="0" xfId="0" applyFill="1" applyAlignment="1">
      <alignment horizontal="left" vertical="top" wrapText="1"/>
    </xf>
    <xf numFmtId="0" fontId="16" fillId="10" borderId="0" xfId="0" quotePrefix="1" applyFont="1" applyFill="1" applyAlignment="1">
      <alignment horizontal="left" vertical="top" wrapText="1" indent="4"/>
    </xf>
    <xf numFmtId="0" fontId="16" fillId="10" borderId="0" xfId="0" quotePrefix="1" applyFont="1" applyFill="1" applyAlignment="1">
      <alignment horizontal="left" vertical="top" indent="4"/>
    </xf>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19" fillId="10" borderId="0" xfId="0" quotePrefix="1" applyFont="1" applyFill="1" applyAlignment="1">
      <alignment horizontal="left" vertical="top" wrapText="1" indent="4"/>
    </xf>
    <xf numFmtId="0" fontId="18" fillId="10" borderId="0" xfId="0" applyFont="1" applyFill="1" applyAlignment="1">
      <alignment horizontal="left" vertical="top"/>
    </xf>
    <xf numFmtId="0" fontId="19" fillId="10" borderId="0" xfId="0" quotePrefix="1" applyFont="1" applyFill="1" applyAlignment="1">
      <alignment horizontal="left" vertical="top" wrapText="1" indent="1"/>
    </xf>
    <xf numFmtId="0" fontId="0" fillId="0" borderId="31" xfId="0" applyBorder="1" applyAlignment="1">
      <alignment horizontal="center"/>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978C9E23-D4B0-11CE-BF2D-00AA003F40D0}"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8BD21D10-EC42-11CE-9E0D-00AA006002F3}"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10-EC42-11CE-9E0D-00AA006002F3}"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10-EC42-11CE-9E0D-00AA006002F3}" ax:persistence="persistStreamInit" r:id="rId1"/>
</file>

<file path=xl/activeX/activeX44.xml><?xml version="1.0" encoding="utf-8"?>
<ax:ocx xmlns:ax="http://schemas.microsoft.com/office/2006/activeX" xmlns:r="http://schemas.openxmlformats.org/officeDocument/2006/relationships" ax:classid="{8BD21D10-EC42-11CE-9E0D-00AA006002F3}"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8BD21D1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20-EC42-11CE-9E0D-00AA006002F3}" ax:persistence="persistStreamInit" r:id="rId1"/>
</file>

<file path=xl/activeX/activeX56.xml><?xml version="1.0" encoding="utf-8"?>
<ax:ocx xmlns:ax="http://schemas.microsoft.com/office/2006/activeX" xmlns:r="http://schemas.openxmlformats.org/officeDocument/2006/relationships" ax:classid="{8BD21D20-EC42-11CE-9E0D-00AA006002F3}"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978C9E23-D4B0-11CE-BF2D-00AA003F40D0}"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0.9994530808363894"/>
          <c:h val="0.83800649918760151"/>
        </c:manualLayout>
      </c:layout>
      <c:lineChart>
        <c:grouping val="standard"/>
        <c:varyColors val="0"/>
        <c:ser>
          <c:idx val="0"/>
          <c:order val="0"/>
          <c:tx>
            <c:v>Ex-Post Fcst Qty</c:v>
          </c:tx>
          <c:spPr>
            <a:ln w="28575" cap="rnd" cmpd="sng" algn="ctr">
              <a:solidFill>
                <a:schemeClr val="accent1">
                  <a:shade val="95000"/>
                  <a:satMod val="105000"/>
                </a:schemeClr>
              </a:solidFill>
              <a:prstDash val="solid"/>
              <a:round/>
            </a:ln>
            <a:effectLst/>
          </c:spPr>
          <c:marker>
            <c:symbol val="none"/>
          </c:marker>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Lit>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Lit>
          </c:cat>
          <c:val>
            <c:numLit>
              <c:formatCode>General</c:formatCode>
              <c:ptCount val="104"/>
              <c:pt idx="0">
                <c:v>1366.8391139999999</c:v>
              </c:pt>
              <c:pt idx="1">
                <c:v>1465.440345</c:v>
              </c:pt>
              <c:pt idx="2">
                <c:v>1517.881656</c:v>
              </c:pt>
              <c:pt idx="3">
                <c:v>1614.6340540000001</c:v>
              </c:pt>
              <c:pt idx="4">
                <c:v>1457.1067720000001</c:v>
              </c:pt>
              <c:pt idx="5">
                <c:v>1527.6379480000001</c:v>
              </c:pt>
              <c:pt idx="6">
                <c:v>1489.5081089999999</c:v>
              </c:pt>
              <c:pt idx="7">
                <c:v>1385.2574789999999</c:v>
              </c:pt>
              <c:pt idx="8">
                <c:v>1536.3938039999998</c:v>
              </c:pt>
              <c:pt idx="9">
                <c:v>1429.8548529999998</c:v>
              </c:pt>
              <c:pt idx="10">
                <c:v>1368.309013</c:v>
              </c:pt>
              <c:pt idx="11">
                <c:v>1476.177469</c:v>
              </c:pt>
              <c:pt idx="12">
                <c:v>1377.461311</c:v>
              </c:pt>
              <c:pt idx="13">
                <c:v>1383.9576280000001</c:v>
              </c:pt>
              <c:pt idx="14">
                <c:v>1461.716003</c:v>
              </c:pt>
              <c:pt idx="15">
                <c:v>1513.423763</c:v>
              </c:pt>
              <c:pt idx="16">
                <c:v>1421.616082</c:v>
              </c:pt>
              <c:pt idx="17">
                <c:v>1537.4104240000001</c:v>
              </c:pt>
              <c:pt idx="18">
                <c:v>1412.1626259999998</c:v>
              </c:pt>
              <c:pt idx="19">
                <c:v>1367.9726639999999</c:v>
              </c:pt>
              <c:pt idx="20">
                <c:v>1454.455293</c:v>
              </c:pt>
              <c:pt idx="21">
                <c:v>1473.379146</c:v>
              </c:pt>
              <c:pt idx="22">
                <c:v>1336.723843</c:v>
              </c:pt>
              <c:pt idx="23">
                <c:v>1402.818636</c:v>
              </c:pt>
              <c:pt idx="24">
                <c:v>1305.9467199999999</c:v>
              </c:pt>
              <c:pt idx="25">
                <c:v>1444.5517850000001</c:v>
              </c:pt>
              <c:pt idx="26">
                <c:v>1489.5450310000001</c:v>
              </c:pt>
              <c:pt idx="27">
                <c:v>1407.2545359999999</c:v>
              </c:pt>
              <c:pt idx="28">
                <c:v>1477.263676</c:v>
              </c:pt>
              <c:pt idx="29">
                <c:v>1416.581193</c:v>
              </c:pt>
              <c:pt idx="30">
                <c:v>1419.7305299999998</c:v>
              </c:pt>
              <c:pt idx="31">
                <c:v>1406.0265359999999</c:v>
              </c:pt>
              <c:pt idx="32">
                <c:v>1397.3063139999999</c:v>
              </c:pt>
              <c:pt idx="33">
                <c:v>1419.46415</c:v>
              </c:pt>
              <c:pt idx="34">
                <c:v>1535.961691</c:v>
              </c:pt>
              <c:pt idx="35">
                <c:v>1449.2230089999998</c:v>
              </c:pt>
              <c:pt idx="36">
                <c:v>1513.5356689999999</c:v>
              </c:pt>
              <c:pt idx="37">
                <c:v>1404.609504</c:v>
              </c:pt>
              <c:pt idx="38">
                <c:v>1538.539387</c:v>
              </c:pt>
              <c:pt idx="39">
                <c:v>1591.6127919999999</c:v>
              </c:pt>
              <c:pt idx="40">
                <c:v>1410.5829960000001</c:v>
              </c:pt>
              <c:pt idx="41">
                <c:v>1382.8728030000002</c:v>
              </c:pt>
              <c:pt idx="42">
                <c:v>1333.307992</c:v>
              </c:pt>
              <c:pt idx="43">
                <c:v>1305.4602930000001</c:v>
              </c:pt>
              <c:pt idx="44">
                <c:v>1449.697281</c:v>
              </c:pt>
              <c:pt idx="45">
                <c:v>1578.2091369999998</c:v>
              </c:pt>
              <c:pt idx="46">
                <c:v>1411.078818</c:v>
              </c:pt>
              <c:pt idx="47">
                <c:v>1380.5970460000001</c:v>
              </c:pt>
              <c:pt idx="48">
                <c:v>1377.3038449999999</c:v>
              </c:pt>
              <c:pt idx="49">
                <c:v>1530.4843289999999</c:v>
              </c:pt>
              <c:pt idx="50">
                <c:v>1547.9374969999999</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Lit>
          </c:val>
          <c:smooth val="0"/>
          <c:extLst>
            <c:ext xmlns:c16="http://schemas.microsoft.com/office/drawing/2014/chart" uri="{C3380CC4-5D6E-409C-BE32-E72D297353CC}">
              <c16:uniqueId val="{00000000-1E05-4D36-B083-579CDC86F057}"/>
            </c:ext>
          </c:extLst>
        </c:ser>
        <c:ser>
          <c:idx val="1"/>
          <c:order val="1"/>
          <c:tx>
            <c:v>Actuals Qty Adj.</c:v>
          </c:tx>
          <c:spPr>
            <a:ln w="28575" cap="rnd" cmpd="sng" algn="ctr">
              <a:solidFill>
                <a:schemeClr val="accent3">
                  <a:shade val="95000"/>
                  <a:satMod val="105000"/>
                </a:schemeClr>
              </a:solidFill>
              <a:prstDash val="solid"/>
              <a:round/>
            </a:ln>
            <a:effectLst/>
          </c:spPr>
          <c:marker>
            <c:symbol val="none"/>
          </c:marker>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Lit>
          </c:cat>
          <c:val>
            <c:numLit>
              <c:formatCode>General</c:formatCode>
              <c:ptCount val="104"/>
              <c:pt idx="0">
                <c:v>1343</c:v>
              </c:pt>
              <c:pt idx="1">
                <c:v>2697</c:v>
              </c:pt>
              <c:pt idx="2">
                <c:v>874</c:v>
              </c:pt>
              <c:pt idx="3">
                <c:v>1098</c:v>
              </c:pt>
              <c:pt idx="4">
                <c:v>970</c:v>
              </c:pt>
              <c:pt idx="5">
                <c:v>1530</c:v>
              </c:pt>
              <c:pt idx="6">
                <c:v>1466</c:v>
              </c:pt>
              <c:pt idx="7">
                <c:v>1488</c:v>
              </c:pt>
              <c:pt idx="8">
                <c:v>1611</c:v>
              </c:pt>
              <c:pt idx="9">
                <c:v>1664</c:v>
              </c:pt>
              <c:pt idx="10">
                <c:v>1120</c:v>
              </c:pt>
              <c:pt idx="11">
                <c:v>1444</c:v>
              </c:pt>
              <c:pt idx="12">
                <c:v>1152</c:v>
              </c:pt>
              <c:pt idx="13">
                <c:v>1550</c:v>
              </c:pt>
              <c:pt idx="14">
                <c:v>1404</c:v>
              </c:pt>
              <c:pt idx="15">
                <c:v>1512</c:v>
              </c:pt>
              <c:pt idx="16">
                <c:v>1252</c:v>
              </c:pt>
              <c:pt idx="17">
                <c:v>1620</c:v>
              </c:pt>
              <c:pt idx="18">
                <c:v>1394</c:v>
              </c:pt>
              <c:pt idx="19">
                <c:v>1561</c:v>
              </c:pt>
              <c:pt idx="20">
                <c:v>1824</c:v>
              </c:pt>
              <c:pt idx="21">
                <c:v>1230</c:v>
              </c:pt>
              <c:pt idx="22">
                <c:v>1142</c:v>
              </c:pt>
              <c:pt idx="23">
                <c:v>1726</c:v>
              </c:pt>
              <c:pt idx="24">
                <c:v>1183</c:v>
              </c:pt>
              <c:pt idx="25">
                <c:v>1613</c:v>
              </c:pt>
              <c:pt idx="26">
                <c:v>1576</c:v>
              </c:pt>
              <c:pt idx="27">
                <c:v>1433</c:v>
              </c:pt>
              <c:pt idx="28">
                <c:v>1553</c:v>
              </c:pt>
              <c:pt idx="29">
                <c:v>1381</c:v>
              </c:pt>
              <c:pt idx="30">
                <c:v>1184</c:v>
              </c:pt>
              <c:pt idx="31">
                <c:v>1621</c:v>
              </c:pt>
              <c:pt idx="32">
                <c:v>1266</c:v>
              </c:pt>
              <c:pt idx="33">
                <c:v>1385</c:v>
              </c:pt>
              <c:pt idx="34">
                <c:v>1554</c:v>
              </c:pt>
              <c:pt idx="35">
                <c:v>1353</c:v>
              </c:pt>
              <c:pt idx="36">
                <c:v>1541</c:v>
              </c:pt>
              <c:pt idx="37">
                <c:v>1504</c:v>
              </c:pt>
              <c:pt idx="38">
                <c:v>1640</c:v>
              </c:pt>
              <c:pt idx="39">
                <c:v>1521</c:v>
              </c:pt>
              <c:pt idx="40">
                <c:v>1406</c:v>
              </c:pt>
              <c:pt idx="41">
                <c:v>1203</c:v>
              </c:pt>
              <c:pt idx="42">
                <c:v>1444</c:v>
              </c:pt>
              <c:pt idx="43">
                <c:v>1396</c:v>
              </c:pt>
              <c:pt idx="44">
                <c:v>1550</c:v>
              </c:pt>
              <c:pt idx="45">
                <c:v>1512</c:v>
              </c:pt>
              <c:pt idx="46">
                <c:v>1377</c:v>
              </c:pt>
              <c:pt idx="47">
                <c:v>1374</c:v>
              </c:pt>
              <c:pt idx="48">
                <c:v>1704</c:v>
              </c:pt>
              <c:pt idx="49">
                <c:v>1567</c:v>
              </c:pt>
              <c:pt idx="50">
                <c:v>1603</c:v>
              </c:pt>
              <c:pt idx="51">
                <c:v>1595</c:v>
              </c:pt>
              <c:pt idx="52">
                <c:v>1390</c:v>
              </c:pt>
              <c:pt idx="53">
                <c:v>1544</c:v>
              </c:pt>
              <c:pt idx="54">
                <c:v>1477</c:v>
              </c:pt>
              <c:pt idx="55">
                <c:v>1778</c:v>
              </c:pt>
              <c:pt idx="56">
                <c:v>1472</c:v>
              </c:pt>
              <c:pt idx="57">
                <c:v>1402</c:v>
              </c:pt>
              <c:pt idx="58">
                <c:v>1244</c:v>
              </c:pt>
              <c:pt idx="59">
                <c:v>1463</c:v>
              </c:pt>
              <c:pt idx="60">
                <c:v>1294</c:v>
              </c:pt>
              <c:pt idx="61">
                <c:v>1363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Lit>
          </c:val>
          <c:smooth val="0"/>
          <c:extLst>
            <c:ext xmlns:c16="http://schemas.microsoft.com/office/drawing/2014/chart" uri="{C3380CC4-5D6E-409C-BE32-E72D297353CC}">
              <c16:uniqueId val="{00000000-5A6F-473A-8B64-54512059F8C2}"/>
            </c:ext>
          </c:extLst>
        </c:ser>
        <c:ser>
          <c:idx val="2"/>
          <c:order val="2"/>
          <c:tx>
            <c:v>Residuals FC-DEL</c:v>
          </c:tx>
          <c:spPr>
            <a:ln w="28575" cap="rnd" cmpd="sng" algn="ctr">
              <a:solidFill>
                <a:schemeClr val="accent5">
                  <a:shade val="95000"/>
                  <a:satMod val="105000"/>
                </a:schemeClr>
              </a:solidFill>
              <a:prstDash val="solid"/>
              <a:round/>
            </a:ln>
            <a:effectLst/>
          </c:spPr>
          <c:marker>
            <c:symbol val="none"/>
          </c:marker>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Lit>
          </c:cat>
          <c:val>
            <c:numLit>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Lit>
          </c:val>
          <c:smooth val="0"/>
          <c:extLst>
            <c:ext xmlns:c16="http://schemas.microsoft.com/office/drawing/2014/chart" uri="{C3380CC4-5D6E-409C-BE32-E72D297353CC}">
              <c16:uniqueId val="{00000001-5A6F-473A-8B64-54512059F8C2}"/>
            </c:ext>
          </c:extLst>
        </c:ser>
        <c:ser>
          <c:idx val="3"/>
          <c:order val="3"/>
          <c:tx>
            <c:v>Statistical Fcst Qty</c:v>
          </c:tx>
          <c:spPr>
            <a:ln w="28575" cap="rnd" cmpd="sng" algn="ctr">
              <a:solidFill>
                <a:schemeClr val="accent1">
                  <a:lumMod val="60000"/>
                  <a:shade val="95000"/>
                  <a:satMod val="105000"/>
                </a:schemeClr>
              </a:solidFill>
              <a:prstDash val="solid"/>
              <a:round/>
            </a:ln>
            <a:effectLst/>
          </c:spPr>
          <c:marker>
            <c:symbol val="none"/>
          </c:marker>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Lit>
          </c:cat>
          <c:val>
            <c:numLit>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1439.7890379999999</c:v>
              </c:pt>
              <c:pt idx="52">
                <c:v>1319.095926</c:v>
              </c:pt>
              <c:pt idx="53">
                <c:v>1393.2598480000001</c:v>
              </c:pt>
              <c:pt idx="54">
                <c:v>1437.8724010000001</c:v>
              </c:pt>
              <c:pt idx="55">
                <c:v>1528.204714</c:v>
              </c:pt>
              <c:pt idx="56">
                <c:v>1503.032907</c:v>
              </c:pt>
              <c:pt idx="57">
                <c:v>1545.496578</c:v>
              </c:pt>
              <c:pt idx="58">
                <c:v>1364.5581549999999</c:v>
              </c:pt>
              <c:pt idx="59">
                <c:v>1389.7284100000002</c:v>
              </c:pt>
              <c:pt idx="60">
                <c:v>1400.8841170000001</c:v>
              </c:pt>
              <c:pt idx="61">
                <c:v>1525.8272550000002</c:v>
              </c:pt>
              <c:pt idx="62">
                <c:v>1493.1970780000001</c:v>
              </c:pt>
              <c:pt idx="63">
                <c:v>1575.528847</c:v>
              </c:pt>
              <c:pt idx="64">
                <c:v>1375.293322</c:v>
              </c:pt>
              <c:pt idx="65">
                <c:v>1412.1994979999999</c:v>
              </c:pt>
              <c:pt idx="66">
                <c:v>1469.533621</c:v>
              </c:pt>
              <c:pt idx="67">
                <c:v>1343.7327170000001</c:v>
              </c:pt>
              <c:pt idx="68">
                <c:v>1462.0935709999999</c:v>
              </c:pt>
              <c:pt idx="69">
                <c:v>1516.8782639999999</c:v>
              </c:pt>
              <c:pt idx="70">
                <c:v>1568.903575</c:v>
              </c:pt>
              <c:pt idx="71">
                <c:v>1421.8603330000001</c:v>
              </c:pt>
              <c:pt idx="72">
                <c:v>1558.687596</c:v>
              </c:pt>
              <c:pt idx="73">
                <c:v>1422.0042920000001</c:v>
              </c:pt>
              <c:pt idx="74">
                <c:v>1363.454127</c:v>
              </c:pt>
              <c:pt idx="75">
                <c:v>1367.618641</c:v>
              </c:pt>
              <c:pt idx="76">
                <c:v>1536.4939319999999</c:v>
              </c:pt>
              <c:pt idx="77">
                <c:v>1348.1660320000001</c:v>
              </c:pt>
              <c:pt idx="78">
                <c:v>1496.8945840000001</c:v>
              </c:pt>
              <c:pt idx="79">
                <c:v>1354.676052</c:v>
              </c:pt>
              <c:pt idx="80">
                <c:v>1365.3363979999999</c:v>
              </c:pt>
              <c:pt idx="81">
                <c:v>1391.3001960000001</c:v>
              </c:pt>
              <c:pt idx="82">
                <c:v>1363.8030699999999</c:v>
              </c:pt>
              <c:pt idx="83">
                <c:v>1425.056517</c:v>
              </c:pt>
              <c:pt idx="84">
                <c:v>1540.1760979999999</c:v>
              </c:pt>
              <c:pt idx="85">
                <c:v>1521.618559</c:v>
              </c:pt>
              <c:pt idx="86">
                <c:v>1419.2526780000001</c:v>
              </c:pt>
              <c:pt idx="87">
                <c:v>1384.7838919999999</c:v>
              </c:pt>
              <c:pt idx="88">
                <c:v>1436.2491110000001</c:v>
              </c:pt>
              <c:pt idx="89">
                <c:v>1495.0965160000001</c:v>
              </c:pt>
              <c:pt idx="90">
                <c:v>1627.753976</c:v>
              </c:pt>
              <c:pt idx="91">
                <c:v>1447.329303</c:v>
              </c:pt>
              <c:pt idx="92">
                <c:v>1444.2905089999999</c:v>
              </c:pt>
              <c:pt idx="93">
                <c:v>1626.2441600000002</c:v>
              </c:pt>
              <c:pt idx="94">
                <c:v>1367.885583</c:v>
              </c:pt>
              <c:pt idx="95">
                <c:v>1504.3994109999999</c:v>
              </c:pt>
              <c:pt idx="96">
                <c:v>1369.8392309999999</c:v>
              </c:pt>
              <c:pt idx="97">
                <c:v>1426.2561850000002</c:v>
              </c:pt>
              <c:pt idx="98">
                <c:v>1511.746081</c:v>
              </c:pt>
              <c:pt idx="99">
                <c:v>1405.4654640000001</c:v>
              </c:pt>
              <c:pt idx="100">
                <c:v>1528.135888</c:v>
              </c:pt>
              <c:pt idx="101">
                <c:v>1437.312756</c:v>
              </c:pt>
              <c:pt idx="102">
                <c:v>1442.9474009999999</c:v>
              </c:pt>
              <c:pt idx="103">
                <c:v>0</c:v>
              </c:pt>
            </c:numLit>
          </c:val>
          <c:smooth val="0"/>
          <c:extLst>
            <c:ext xmlns:c16="http://schemas.microsoft.com/office/drawing/2014/chart" uri="{C3380CC4-5D6E-409C-BE32-E72D297353CC}">
              <c16:uniqueId val="{00000001-9431-48A9-8508-3222FE7FEED6}"/>
            </c:ext>
          </c:extLst>
        </c:ser>
        <c:dLbls>
          <c:showLegendKey val="0"/>
          <c:showVal val="0"/>
          <c:showCatName val="0"/>
          <c:showSerName val="0"/>
          <c:showPercent val="0"/>
          <c:showBubbleSize val="0"/>
        </c:dLbls>
        <c:smooth val="0"/>
        <c:axId val="580285616"/>
        <c:axId val="576288856"/>
      </c:line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7.6019106385740248E-2"/>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6199365704286964"/>
          <c:w val="0.99913881463914622"/>
          <c:h val="0.83800649918760151"/>
        </c:manualLayout>
      </c:layout>
      <c:barChart>
        <c:barDir val="col"/>
        <c:grouping val="stacked"/>
        <c:varyColors val="0"/>
        <c:ser>
          <c:idx val="1"/>
          <c:order val="1"/>
          <c:tx>
            <c:v>Ex-Post Base Forecast Qty</c:v>
          </c:tx>
          <c:spPr>
            <a:solidFill>
              <a:schemeClr val="bg1">
                <a:lumMod val="75000"/>
              </a:schemeClr>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SapIbpChartFeeder!$C$52:$DB$52</c:f>
              <c:strCache>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Cache>
            </c:strRef>
          </c:cat>
          <c:val>
            <c:numRef>
              <c:f>SapIbpChartFeeder!$C$54:$DB$54</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D-235F-4917-963E-525D6C125518}"/>
            </c:ext>
          </c:extLst>
        </c:ser>
        <c:ser>
          <c:idx val="3"/>
          <c:order val="3"/>
          <c:tx>
            <c:v>Base Forecast Qty</c:v>
          </c:tx>
          <c:spPr>
            <a:solidFill>
              <a:schemeClr val="accent3">
                <a:lumMod val="60000"/>
                <a:lumOff val="40000"/>
              </a:schemeClr>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SapIbpChartFeeder!$C$52:$DB$52</c:f>
              <c:strCache>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Cache>
            </c:strRef>
          </c:cat>
          <c:val>
            <c:numRef>
              <c:f>SapIbpChartFeeder!$C$56:$DB$56</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0F-235F-4917-963E-525D6C125518}"/>
            </c:ext>
          </c:extLst>
        </c:ser>
        <c:ser>
          <c:idx val="5"/>
          <c:order val="5"/>
          <c:tx>
            <c:v>Ex-Post Event Impact</c:v>
          </c:tx>
          <c:spPr>
            <a:solidFill>
              <a:schemeClr val="accent1">
                <a:lumMod val="40000"/>
                <a:lumOff val="60000"/>
              </a:schemeClr>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SapIbpChartFeeder!$C$52:$DB$52</c:f>
              <c:strCache>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Cache>
            </c:strRef>
          </c:cat>
          <c:val>
            <c:numRef>
              <c:f>SapIbpChartFeeder!$C$58:$DB$58</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11-235F-4917-963E-525D6C125518}"/>
            </c:ext>
          </c:extLst>
        </c:ser>
        <c:ser>
          <c:idx val="6"/>
          <c:order val="6"/>
          <c:tx>
            <c:v>Ex-Post Marketing Budget Impact</c:v>
          </c:tx>
          <c:spPr>
            <a:solidFill>
              <a:schemeClr val="accent2">
                <a:lumMod val="40000"/>
                <a:lumOff val="60000"/>
              </a:schemeClr>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SapIbpChartFeeder!$C$52:$DB$52</c:f>
              <c:strCache>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Cache>
            </c:strRef>
          </c:cat>
          <c:val>
            <c:numRef>
              <c:f>SapIbpChartFeeder!$C$59:$DB$59</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12-235F-4917-963E-525D6C125518}"/>
            </c:ext>
          </c:extLst>
        </c:ser>
        <c:ser>
          <c:idx val="7"/>
          <c:order val="7"/>
          <c:tx>
            <c:v>Event Impact</c:v>
          </c:tx>
          <c:spPr>
            <a:solidFill>
              <a:schemeClr val="accent1">
                <a:lumMod val="60000"/>
                <a:lumOff val="40000"/>
              </a:schemeClr>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SapIbpChartFeeder!$C$52:$DB$52</c:f>
              <c:strCache>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Cache>
            </c:strRef>
          </c:cat>
          <c:val>
            <c:numRef>
              <c:f>SapIbpChartFeeder!$C$60:$DB$60</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13-235F-4917-963E-525D6C125518}"/>
            </c:ext>
          </c:extLst>
        </c:ser>
        <c:ser>
          <c:idx val="8"/>
          <c:order val="8"/>
          <c:tx>
            <c:v>Marketing Budget Impact</c:v>
          </c:tx>
          <c:spPr>
            <a:solidFill>
              <a:schemeClr val="accent2">
                <a:lumMod val="60000"/>
                <a:lumOff val="40000"/>
              </a:schemeClr>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SapIbpChartFeeder!$C$52:$DB$52</c:f>
              <c:strCache>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Cache>
            </c:strRef>
          </c:cat>
          <c:val>
            <c:numRef>
              <c:f>SapIbpChartFeeder!$C$61:$DB$61</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extLst>
            <c:ext xmlns:c16="http://schemas.microsoft.com/office/drawing/2014/chart" uri="{C3380CC4-5D6E-409C-BE32-E72D297353CC}">
              <c16:uniqueId val="{00000014-235F-4917-963E-525D6C125518}"/>
            </c:ext>
          </c:extLst>
        </c:ser>
        <c:dLbls>
          <c:showLegendKey val="0"/>
          <c:showVal val="0"/>
          <c:showCatName val="0"/>
          <c:showSerName val="0"/>
          <c:showPercent val="0"/>
          <c:showBubbleSize val="0"/>
        </c:dLbls>
        <c:gapWidth val="150"/>
        <c:overlap val="100"/>
        <c:axId val="580285616"/>
        <c:axId val="576288856"/>
      </c:barChart>
      <c:lineChart>
        <c:grouping val="standard"/>
        <c:varyColors val="0"/>
        <c:ser>
          <c:idx val="0"/>
          <c:order val="0"/>
          <c:tx>
            <c:v>Actuals Qty Adj.</c:v>
          </c:tx>
          <c:spPr>
            <a:ln w="28575" cap="rnd" cmpd="sng" algn="ctr">
              <a:solidFill>
                <a:schemeClr val="accent1">
                  <a:shade val="95000"/>
                  <a:satMod val="105000"/>
                </a:schemeClr>
              </a:solidFill>
              <a:prstDash val="solid"/>
              <a:round/>
            </a:ln>
            <a:effectLst/>
          </c:spPr>
          <c:marker>
            <c:symbol val="none"/>
          </c:marker>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SapIbpChartFeeder!$C$52:$DB$52</c:f>
              <c:strCache>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Cache>
            </c:strRef>
          </c:cat>
          <c:val>
            <c:numRef>
              <c:f>SapIbpChartFeeder!$C$53:$DB$53</c:f>
              <c:numCache>
                <c:formatCode>General</c:formatCode>
                <c:ptCount val="104"/>
                <c:pt idx="0">
                  <c:v>679</c:v>
                </c:pt>
                <c:pt idx="1">
                  <c:v>627</c:v>
                </c:pt>
                <c:pt idx="2">
                  <c:v>736</c:v>
                </c:pt>
                <c:pt idx="3">
                  <c:v>756</c:v>
                </c:pt>
                <c:pt idx="4">
                  <c:v>723</c:v>
                </c:pt>
                <c:pt idx="5">
                  <c:v>520</c:v>
                </c:pt>
                <c:pt idx="6">
                  <c:v>702</c:v>
                </c:pt>
                <c:pt idx="7">
                  <c:v>900</c:v>
                </c:pt>
                <c:pt idx="8">
                  <c:v>1000</c:v>
                </c:pt>
                <c:pt idx="9">
                  <c:v>900</c:v>
                </c:pt>
                <c:pt idx="10">
                  <c:v>825</c:v>
                </c:pt>
                <c:pt idx="11">
                  <c:v>805</c:v>
                </c:pt>
                <c:pt idx="12">
                  <c:v>732</c:v>
                </c:pt>
                <c:pt idx="13">
                  <c:v>692</c:v>
                </c:pt>
                <c:pt idx="14">
                  <c:v>689</c:v>
                </c:pt>
                <c:pt idx="15">
                  <c:v>741</c:v>
                </c:pt>
                <c:pt idx="16">
                  <c:v>699</c:v>
                </c:pt>
                <c:pt idx="17">
                  <c:v>811</c:v>
                </c:pt>
                <c:pt idx="18">
                  <c:v>628</c:v>
                </c:pt>
                <c:pt idx="19">
                  <c:v>681</c:v>
                </c:pt>
                <c:pt idx="20">
                  <c:v>792</c:v>
                </c:pt>
                <c:pt idx="21">
                  <c:v>1200</c:v>
                </c:pt>
                <c:pt idx="22">
                  <c:v>1400</c:v>
                </c:pt>
                <c:pt idx="23">
                  <c:v>1300</c:v>
                </c:pt>
                <c:pt idx="24">
                  <c:v>679</c:v>
                </c:pt>
                <c:pt idx="25">
                  <c:v>709</c:v>
                </c:pt>
                <c:pt idx="26">
                  <c:v>681</c:v>
                </c:pt>
                <c:pt idx="27">
                  <c:v>565</c:v>
                </c:pt>
                <c:pt idx="28">
                  <c:v>725</c:v>
                </c:pt>
                <c:pt idx="29">
                  <c:v>628</c:v>
                </c:pt>
                <c:pt idx="30">
                  <c:v>1100</c:v>
                </c:pt>
                <c:pt idx="31">
                  <c:v>1300</c:v>
                </c:pt>
                <c:pt idx="32">
                  <c:v>1500</c:v>
                </c:pt>
                <c:pt idx="33">
                  <c:v>200</c:v>
                </c:pt>
                <c:pt idx="34">
                  <c:v>500</c:v>
                </c:pt>
                <c:pt idx="35">
                  <c:v>619</c:v>
                </c:pt>
                <c:pt idx="36">
                  <c:v>820</c:v>
                </c:pt>
                <c:pt idx="37">
                  <c:v>815</c:v>
                </c:pt>
                <c:pt idx="38">
                  <c:v>780</c:v>
                </c:pt>
                <c:pt idx="39">
                  <c:v>690</c:v>
                </c:pt>
                <c:pt idx="40">
                  <c:v>766</c:v>
                </c:pt>
                <c:pt idx="41">
                  <c:v>603</c:v>
                </c:pt>
                <c:pt idx="42">
                  <c:v>705</c:v>
                </c:pt>
                <c:pt idx="43">
                  <c:v>668</c:v>
                </c:pt>
                <c:pt idx="44">
                  <c:v>613</c:v>
                </c:pt>
                <c:pt idx="45">
                  <c:v>732</c:v>
                </c:pt>
                <c:pt idx="46">
                  <c:v>554</c:v>
                </c:pt>
                <c:pt idx="47">
                  <c:v>641</c:v>
                </c:pt>
                <c:pt idx="48">
                  <c:v>900</c:v>
                </c:pt>
                <c:pt idx="49">
                  <c:v>1200</c:v>
                </c:pt>
                <c:pt idx="50">
                  <c:v>1400</c:v>
                </c:pt>
                <c:pt idx="51">
                  <c:v>350</c:v>
                </c:pt>
                <c:pt idx="52">
                  <c:v>450</c:v>
                </c:pt>
                <c:pt idx="53">
                  <c:v>601</c:v>
                </c:pt>
                <c:pt idx="54">
                  <c:v>573</c:v>
                </c:pt>
                <c:pt idx="55">
                  <c:v>683</c:v>
                </c:pt>
                <c:pt idx="56">
                  <c:v>765</c:v>
                </c:pt>
                <c:pt idx="57">
                  <c:v>774</c:v>
                </c:pt>
                <c:pt idx="58">
                  <c:v>753</c:v>
                </c:pt>
                <c:pt idx="59">
                  <c:v>785</c:v>
                </c:pt>
                <c:pt idx="60">
                  <c:v>800</c:v>
                </c:pt>
                <c:pt idx="61">
                  <c:v>600</c:v>
                </c:pt>
                <c:pt idx="62">
                  <c:v>500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c:ext xmlns:c16="http://schemas.microsoft.com/office/drawing/2014/chart" uri="{C3380CC4-5D6E-409C-BE32-E72D297353CC}">
              <c16:uniqueId val="{00000000-235F-4917-963E-525D6C125518}"/>
            </c:ext>
          </c:extLst>
        </c:ser>
        <c:ser>
          <c:idx val="2"/>
          <c:order val="2"/>
          <c:tx>
            <c:v>Ex-Post Fcst Qty</c:v>
          </c:tx>
          <c:spPr>
            <a:ln w="28575" cap="rnd" cmpd="sng" algn="ctr">
              <a:solidFill>
                <a:schemeClr val="accent5">
                  <a:shade val="95000"/>
                  <a:satMod val="105000"/>
                </a:schemeClr>
              </a:solidFill>
              <a:prstDash val="solid"/>
              <a:round/>
            </a:ln>
            <a:effectLst/>
          </c:spPr>
          <c:marker>
            <c:symbol val="none"/>
          </c:marker>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SapIbpChartFeeder!$C$52:$DB$52</c:f>
              <c:strCache>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Cache>
            </c:strRef>
          </c:cat>
          <c:val>
            <c:numRef>
              <c:f>SapIbpChartFeeder!$C$55:$DB$55</c:f>
              <c:numCache>
                <c:formatCode>General</c:formatCode>
                <c:ptCount val="104"/>
                <c:pt idx="0">
                  <c:v>682.91736100000003</c:v>
                </c:pt>
                <c:pt idx="1">
                  <c:v>616.544128</c:v>
                </c:pt>
                <c:pt idx="2">
                  <c:v>684.48899200000005</c:v>
                </c:pt>
                <c:pt idx="3">
                  <c:v>711.91968399999996</c:v>
                </c:pt>
                <c:pt idx="4">
                  <c:v>697.904898</c:v>
                </c:pt>
                <c:pt idx="5">
                  <c:v>510.93237399999998</c:v>
                </c:pt>
                <c:pt idx="6">
                  <c:v>658.80365500000005</c:v>
                </c:pt>
                <c:pt idx="7">
                  <c:v>896.42873699999996</c:v>
                </c:pt>
                <c:pt idx="8">
                  <c:v>1051.552285</c:v>
                </c:pt>
                <c:pt idx="9">
                  <c:v>922.51408100000003</c:v>
                </c:pt>
                <c:pt idx="10">
                  <c:v>857.29735300000004</c:v>
                </c:pt>
                <c:pt idx="11">
                  <c:v>813.55330700000002</c:v>
                </c:pt>
                <c:pt idx="12">
                  <c:v>694.59995900000001</c:v>
                </c:pt>
                <c:pt idx="13">
                  <c:v>669.83415000000002</c:v>
                </c:pt>
                <c:pt idx="14">
                  <c:v>689.97484799999995</c:v>
                </c:pt>
                <c:pt idx="15">
                  <c:v>703.53328599999998</c:v>
                </c:pt>
                <c:pt idx="16">
                  <c:v>707.80734700000005</c:v>
                </c:pt>
                <c:pt idx="17">
                  <c:v>730.43680199999994</c:v>
                </c:pt>
                <c:pt idx="18">
                  <c:v>662.05902900000001</c:v>
                </c:pt>
                <c:pt idx="19">
                  <c:v>675.99141699999996</c:v>
                </c:pt>
                <c:pt idx="20">
                  <c:v>817.78482799999995</c:v>
                </c:pt>
                <c:pt idx="21">
                  <c:v>1185.6541279999999</c:v>
                </c:pt>
                <c:pt idx="22">
                  <c:v>1245.2290820000001</c:v>
                </c:pt>
                <c:pt idx="23">
                  <c:v>1187.1813070000001</c:v>
                </c:pt>
                <c:pt idx="24">
                  <c:v>722.88534500000003</c:v>
                </c:pt>
                <c:pt idx="25">
                  <c:v>723.92189800000006</c:v>
                </c:pt>
                <c:pt idx="26">
                  <c:v>681.09519799999998</c:v>
                </c:pt>
                <c:pt idx="27">
                  <c:v>617.20335599999999</c:v>
                </c:pt>
                <c:pt idx="28">
                  <c:v>701.41082100000006</c:v>
                </c:pt>
                <c:pt idx="29">
                  <c:v>665.66224699999998</c:v>
                </c:pt>
                <c:pt idx="30">
                  <c:v>987.20148600000005</c:v>
                </c:pt>
                <c:pt idx="31">
                  <c:v>1272.2192010000001</c:v>
                </c:pt>
                <c:pt idx="32">
                  <c:v>493.36386199999998</c:v>
                </c:pt>
                <c:pt idx="33">
                  <c:v>325.12759399999999</c:v>
                </c:pt>
                <c:pt idx="34">
                  <c:v>533.439662</c:v>
                </c:pt>
                <c:pt idx="35">
                  <c:v>664.29287199999999</c:v>
                </c:pt>
                <c:pt idx="36">
                  <c:v>815.00793099999999</c:v>
                </c:pt>
                <c:pt idx="37">
                  <c:v>834.75660500000004</c:v>
                </c:pt>
                <c:pt idx="38">
                  <c:v>716.20503699999995</c:v>
                </c:pt>
                <c:pt idx="39">
                  <c:v>642.42900799999995</c:v>
                </c:pt>
                <c:pt idx="40">
                  <c:v>679.04957000000002</c:v>
                </c:pt>
                <c:pt idx="41">
                  <c:v>655.45833000000005</c:v>
                </c:pt>
                <c:pt idx="42">
                  <c:v>674.81181700000002</c:v>
                </c:pt>
                <c:pt idx="43">
                  <c:v>663.10979599999996</c:v>
                </c:pt>
                <c:pt idx="44">
                  <c:v>637.20576900000003</c:v>
                </c:pt>
                <c:pt idx="45">
                  <c:v>675.18389100000002</c:v>
                </c:pt>
                <c:pt idx="46">
                  <c:v>565.70654000000002</c:v>
                </c:pt>
                <c:pt idx="47">
                  <c:v>648.98464300000001</c:v>
                </c:pt>
                <c:pt idx="48">
                  <c:v>895.93229699999995</c:v>
                </c:pt>
                <c:pt idx="49">
                  <c:v>1220.0899320000001</c:v>
                </c:pt>
                <c:pt idx="50">
                  <c:v>582.54770099999996</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numCache>
            </c:numRef>
          </c:val>
          <c:smooth val="0"/>
          <c:extLst>
            <c:ext xmlns:c16="http://schemas.microsoft.com/office/drawing/2014/chart" uri="{C3380CC4-5D6E-409C-BE32-E72D297353CC}">
              <c16:uniqueId val="{0000000E-235F-4917-963E-525D6C125518}"/>
            </c:ext>
          </c:extLst>
        </c:ser>
        <c:ser>
          <c:idx val="4"/>
          <c:order val="4"/>
          <c:tx>
            <c:v>Statistical Fcst Qty</c:v>
          </c:tx>
          <c:spPr>
            <a:ln w="28575" cap="rnd" cmpd="sng" algn="ctr">
              <a:solidFill>
                <a:schemeClr val="accent3">
                  <a:lumMod val="60000"/>
                  <a:shade val="95000"/>
                  <a:satMod val="105000"/>
                </a:schemeClr>
              </a:solidFill>
              <a:prstDash val="solid"/>
              <a:round/>
            </a:ln>
            <a:effectLst/>
          </c:spPr>
          <c:marker>
            <c:symbol val="none"/>
          </c:marker>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7F7F7F"/>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SapIbpChartFeeder!$C$52:$DB$52</c:f>
              <c:strCache>
                <c:ptCount val="104"/>
                <c:pt idx="0">
                  <c:v>CW19 M5 2021</c:v>
                </c:pt>
                <c:pt idx="1">
                  <c:v>CW20 M5 2021</c:v>
                </c:pt>
                <c:pt idx="2">
                  <c:v>CW21 M5 2021</c:v>
                </c:pt>
                <c:pt idx="3">
                  <c:v>CW22 M6 2021</c:v>
                </c:pt>
                <c:pt idx="4">
                  <c:v>CW23 M6 2021</c:v>
                </c:pt>
                <c:pt idx="5">
                  <c:v>CW24 M6 2021</c:v>
                </c:pt>
                <c:pt idx="6">
                  <c:v>CW25 M6 2021</c:v>
                </c:pt>
                <c:pt idx="7">
                  <c:v>CW26 M6 2021</c:v>
                </c:pt>
                <c:pt idx="8">
                  <c:v>CW27 M7 2021</c:v>
                </c:pt>
                <c:pt idx="9">
                  <c:v>CW28 M7 2021</c:v>
                </c:pt>
                <c:pt idx="10">
                  <c:v>CW29 M7 2021</c:v>
                </c:pt>
                <c:pt idx="11">
                  <c:v>CW30 M7 2021</c:v>
                </c:pt>
                <c:pt idx="12">
                  <c:v>CW31 M8 2021</c:v>
                </c:pt>
                <c:pt idx="13">
                  <c:v>CW32 M8 2021</c:v>
                </c:pt>
                <c:pt idx="14">
                  <c:v>CW33 M8 2021</c:v>
                </c:pt>
                <c:pt idx="15">
                  <c:v>CW34 M8 2021</c:v>
                </c:pt>
                <c:pt idx="16">
                  <c:v>CW35 M9 2021</c:v>
                </c:pt>
                <c:pt idx="17">
                  <c:v>CW36 M9 2021</c:v>
                </c:pt>
                <c:pt idx="18">
                  <c:v>CW37 M9 2021</c:v>
                </c:pt>
                <c:pt idx="19">
                  <c:v>CW38 M9 2021</c:v>
                </c:pt>
                <c:pt idx="20">
                  <c:v>CW39 M9 2021</c:v>
                </c:pt>
                <c:pt idx="21">
                  <c:v>CW40 M10 2021</c:v>
                </c:pt>
                <c:pt idx="22">
                  <c:v>CW41 M10 2021</c:v>
                </c:pt>
                <c:pt idx="23">
                  <c:v>CW42 M10 2021</c:v>
                </c:pt>
                <c:pt idx="24">
                  <c:v>CW43 M10 2021</c:v>
                </c:pt>
                <c:pt idx="25">
                  <c:v>CW44 M11 2021</c:v>
                </c:pt>
                <c:pt idx="26">
                  <c:v>CW45 M11 2021</c:v>
                </c:pt>
                <c:pt idx="27">
                  <c:v>CW46 M11 2021</c:v>
                </c:pt>
                <c:pt idx="28">
                  <c:v>CW47 M11 2021</c:v>
                </c:pt>
                <c:pt idx="29">
                  <c:v>CW48 M12 2021</c:v>
                </c:pt>
                <c:pt idx="30">
                  <c:v>CW49 M12 2021</c:v>
                </c:pt>
                <c:pt idx="31">
                  <c:v>CW50 M12 2021</c:v>
                </c:pt>
                <c:pt idx="32">
                  <c:v>CW51 M12 2021</c:v>
                </c:pt>
                <c:pt idx="33">
                  <c:v>CW52 M12 2021</c:v>
                </c:pt>
                <c:pt idx="34">
                  <c:v>CW01 M1 2022</c:v>
                </c:pt>
                <c:pt idx="35">
                  <c:v>CW02 M1 2022</c:v>
                </c:pt>
                <c:pt idx="36">
                  <c:v>CW03 M1 2022</c:v>
                </c:pt>
                <c:pt idx="37">
                  <c:v>CW04 M1 2022</c:v>
                </c:pt>
                <c:pt idx="38">
                  <c:v>CW05 M2 2022</c:v>
                </c:pt>
                <c:pt idx="39">
                  <c:v>CW06 M2 2022</c:v>
                </c:pt>
                <c:pt idx="40">
                  <c:v>CW07 M2 2022</c:v>
                </c:pt>
                <c:pt idx="41">
                  <c:v>CW08 M2 2022</c:v>
                </c:pt>
                <c:pt idx="42">
                  <c:v>CW09 M3 2022</c:v>
                </c:pt>
                <c:pt idx="43">
                  <c:v>CW10 M3 2022</c:v>
                </c:pt>
                <c:pt idx="44">
                  <c:v>CW11 M3 2022</c:v>
                </c:pt>
                <c:pt idx="45">
                  <c:v>CW12 M3 2022</c:v>
                </c:pt>
                <c:pt idx="46">
                  <c:v>CW13 M3 2022</c:v>
                </c:pt>
                <c:pt idx="47">
                  <c:v>CW14 M4 2022</c:v>
                </c:pt>
                <c:pt idx="48">
                  <c:v>CW15 M4 2022</c:v>
                </c:pt>
                <c:pt idx="49">
                  <c:v>CW16 M4 2022</c:v>
                </c:pt>
                <c:pt idx="50">
                  <c:v>CW17 M4 2022</c:v>
                </c:pt>
                <c:pt idx="51">
                  <c:v>CW18 M5 2022</c:v>
                </c:pt>
                <c:pt idx="52">
                  <c:v>CW19 M5 2022</c:v>
                </c:pt>
                <c:pt idx="53">
                  <c:v>CW20 M5 2022</c:v>
                </c:pt>
                <c:pt idx="54">
                  <c:v>CW21 M5 2022</c:v>
                </c:pt>
                <c:pt idx="55">
                  <c:v>CW22 M6 2022</c:v>
                </c:pt>
                <c:pt idx="56">
                  <c:v>CW23 M6 2022</c:v>
                </c:pt>
                <c:pt idx="57">
                  <c:v>CW24 M6 2022</c:v>
                </c:pt>
                <c:pt idx="58">
                  <c:v>CW25 M6 2022</c:v>
                </c:pt>
                <c:pt idx="59">
                  <c:v>CW26 M6 2022</c:v>
                </c:pt>
                <c:pt idx="60">
                  <c:v>CW27 M7 2022</c:v>
                </c:pt>
                <c:pt idx="61">
                  <c:v>CW28 M7 2022</c:v>
                </c:pt>
                <c:pt idx="62">
                  <c:v>CW29 M7 2022</c:v>
                </c:pt>
                <c:pt idx="63">
                  <c:v>CW30 M7 2022</c:v>
                </c:pt>
                <c:pt idx="64">
                  <c:v>CW31 M8 2022</c:v>
                </c:pt>
                <c:pt idx="65">
                  <c:v>CW32 M8 2022</c:v>
                </c:pt>
                <c:pt idx="66">
                  <c:v>CW33 M8 2022</c:v>
                </c:pt>
                <c:pt idx="67">
                  <c:v>CW34 M8 2022</c:v>
                </c:pt>
                <c:pt idx="68">
                  <c:v>CW35 M9 2022</c:v>
                </c:pt>
                <c:pt idx="69">
                  <c:v>CW36 M9 2022</c:v>
                </c:pt>
                <c:pt idx="70">
                  <c:v>CW37 M9 2022</c:v>
                </c:pt>
                <c:pt idx="71">
                  <c:v>CW38 M9 2022</c:v>
                </c:pt>
                <c:pt idx="72">
                  <c:v>CW39 M9 2022</c:v>
                </c:pt>
                <c:pt idx="73">
                  <c:v>CW40 M10 2022</c:v>
                </c:pt>
                <c:pt idx="74">
                  <c:v>CW41 M10 2022</c:v>
                </c:pt>
                <c:pt idx="75">
                  <c:v>CW42 M10 2022</c:v>
                </c:pt>
                <c:pt idx="76">
                  <c:v>CW43 M10 2022</c:v>
                </c:pt>
                <c:pt idx="77">
                  <c:v>CW44 M11 2022</c:v>
                </c:pt>
                <c:pt idx="78">
                  <c:v>CW45 M11 2022</c:v>
                </c:pt>
                <c:pt idx="79">
                  <c:v>CW46 M11 2022</c:v>
                </c:pt>
                <c:pt idx="80">
                  <c:v>CW47 M11 2022</c:v>
                </c:pt>
                <c:pt idx="81">
                  <c:v>CW48 M12 2022</c:v>
                </c:pt>
                <c:pt idx="82">
                  <c:v>CW49 M12 2022</c:v>
                </c:pt>
                <c:pt idx="83">
                  <c:v>CW50 M12 2022</c:v>
                </c:pt>
                <c:pt idx="84">
                  <c:v>CW51 M12 2022</c:v>
                </c:pt>
                <c:pt idx="85">
                  <c:v>CW52 M12 2022</c:v>
                </c:pt>
                <c:pt idx="86">
                  <c:v>CW01 M1 2023</c:v>
                </c:pt>
                <c:pt idx="87">
                  <c:v>CW02 M1 2023</c:v>
                </c:pt>
                <c:pt idx="88">
                  <c:v>CW03 M1 2023</c:v>
                </c:pt>
                <c:pt idx="89">
                  <c:v>CW04 M1 2023</c:v>
                </c:pt>
                <c:pt idx="90">
                  <c:v>CW05 M2 2023</c:v>
                </c:pt>
                <c:pt idx="91">
                  <c:v>CW06 M2 2023</c:v>
                </c:pt>
                <c:pt idx="92">
                  <c:v>CW07 M2 2023</c:v>
                </c:pt>
                <c:pt idx="93">
                  <c:v>CW08 M2 2023</c:v>
                </c:pt>
                <c:pt idx="94">
                  <c:v>CW09 M3 2023</c:v>
                </c:pt>
                <c:pt idx="95">
                  <c:v>CW10 M3 2023</c:v>
                </c:pt>
                <c:pt idx="96">
                  <c:v>CW11 M3 2023</c:v>
                </c:pt>
                <c:pt idx="97">
                  <c:v>CW12 M3 2023</c:v>
                </c:pt>
                <c:pt idx="98">
                  <c:v>CW13 M3 2023</c:v>
                </c:pt>
                <c:pt idx="99">
                  <c:v>CW14 M4 2023</c:v>
                </c:pt>
                <c:pt idx="100">
                  <c:v>CW15 M4 2023</c:v>
                </c:pt>
                <c:pt idx="101">
                  <c:v>CW16 M4 2023</c:v>
                </c:pt>
                <c:pt idx="102">
                  <c:v>CW17 M4 2023</c:v>
                </c:pt>
                <c:pt idx="103">
                  <c:v>CW18 M5 2023</c:v>
                </c:pt>
              </c:strCache>
            </c:strRef>
          </c:cat>
          <c:val>
            <c:numRef>
              <c:f>SapIbpChartFeeder!$C$57:$DB$57</c:f>
              <c:numCache>
                <c:formatCode>General</c:formatCode>
                <c:ptCount val="1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469.35298599999999</c:v>
                </c:pt>
                <c:pt idx="52">
                  <c:v>489.74474700000002</c:v>
                </c:pt>
                <c:pt idx="53">
                  <c:v>649.48268900000005</c:v>
                </c:pt>
                <c:pt idx="54">
                  <c:v>635.04387499999996</c:v>
                </c:pt>
                <c:pt idx="55">
                  <c:v>639.00314200000003</c:v>
                </c:pt>
                <c:pt idx="56">
                  <c:v>667.53213300000004</c:v>
                </c:pt>
                <c:pt idx="57">
                  <c:v>595.45224700000006</c:v>
                </c:pt>
                <c:pt idx="58">
                  <c:v>594.62329099999999</c:v>
                </c:pt>
                <c:pt idx="59">
                  <c:v>627.26156600000002</c:v>
                </c:pt>
                <c:pt idx="60">
                  <c:v>1265.3118669999999</c:v>
                </c:pt>
                <c:pt idx="61">
                  <c:v>766.12865599999998</c:v>
                </c:pt>
                <c:pt idx="62">
                  <c:v>787.38971100000003</c:v>
                </c:pt>
                <c:pt idx="63">
                  <c:v>750.68257400000005</c:v>
                </c:pt>
                <c:pt idx="64">
                  <c:v>659.53023700000006</c:v>
                </c:pt>
                <c:pt idx="65">
                  <c:v>708.73980400000005</c:v>
                </c:pt>
                <c:pt idx="66">
                  <c:v>709.59671900000001</c:v>
                </c:pt>
                <c:pt idx="67">
                  <c:v>634.59356600000001</c:v>
                </c:pt>
                <c:pt idx="68">
                  <c:v>684.26325399999996</c:v>
                </c:pt>
                <c:pt idx="69">
                  <c:v>669.96334300000001</c:v>
                </c:pt>
                <c:pt idx="70">
                  <c:v>687.55055700000003</c:v>
                </c:pt>
                <c:pt idx="71">
                  <c:v>725.61092199999996</c:v>
                </c:pt>
                <c:pt idx="72">
                  <c:v>669.31573000000003</c:v>
                </c:pt>
                <c:pt idx="73">
                  <c:v>844.42392600000005</c:v>
                </c:pt>
                <c:pt idx="74">
                  <c:v>833.47673499999996</c:v>
                </c:pt>
                <c:pt idx="75">
                  <c:v>833.80130899999995</c:v>
                </c:pt>
                <c:pt idx="76">
                  <c:v>759.75316999999995</c:v>
                </c:pt>
                <c:pt idx="77">
                  <c:v>656.30893300000002</c:v>
                </c:pt>
                <c:pt idx="78">
                  <c:v>688.49425900000006</c:v>
                </c:pt>
                <c:pt idx="79">
                  <c:v>630.52829199999996</c:v>
                </c:pt>
                <c:pt idx="80">
                  <c:v>640.57620499999996</c:v>
                </c:pt>
                <c:pt idx="81">
                  <c:v>597.45917199999997</c:v>
                </c:pt>
                <c:pt idx="82">
                  <c:v>789.49682800000005</c:v>
                </c:pt>
                <c:pt idx="83">
                  <c:v>829.57630099999994</c:v>
                </c:pt>
                <c:pt idx="84">
                  <c:v>706.304755</c:v>
                </c:pt>
                <c:pt idx="85">
                  <c:v>528.92442600000004</c:v>
                </c:pt>
                <c:pt idx="86">
                  <c:v>545.77324699999997</c:v>
                </c:pt>
                <c:pt idx="87">
                  <c:v>535.07826699999998</c:v>
                </c:pt>
                <c:pt idx="88">
                  <c:v>653.04386499999998</c:v>
                </c:pt>
                <c:pt idx="89">
                  <c:v>662.90444400000001</c:v>
                </c:pt>
                <c:pt idx="90">
                  <c:v>684.73906699999998</c:v>
                </c:pt>
                <c:pt idx="91">
                  <c:v>673.31604300000004</c:v>
                </c:pt>
                <c:pt idx="92">
                  <c:v>635.10864000000004</c:v>
                </c:pt>
                <c:pt idx="93">
                  <c:v>599.17706099999998</c:v>
                </c:pt>
                <c:pt idx="94">
                  <c:v>675.18020100000001</c:v>
                </c:pt>
                <c:pt idx="95">
                  <c:v>645.31183299999998</c:v>
                </c:pt>
                <c:pt idx="96">
                  <c:v>634.387565</c:v>
                </c:pt>
                <c:pt idx="97">
                  <c:v>650.61259299999995</c:v>
                </c:pt>
                <c:pt idx="98">
                  <c:v>619.33197600000005</c:v>
                </c:pt>
                <c:pt idx="99">
                  <c:v>589.88072299999999</c:v>
                </c:pt>
                <c:pt idx="100">
                  <c:v>564.64104499999996</c:v>
                </c:pt>
                <c:pt idx="101">
                  <c:v>885.89570500000002</c:v>
                </c:pt>
                <c:pt idx="102">
                  <c:v>864.422192</c:v>
                </c:pt>
                <c:pt idx="103">
                  <c:v>0</c:v>
                </c:pt>
              </c:numCache>
            </c:numRef>
          </c:val>
          <c:smooth val="0"/>
          <c:extLst>
            <c:ext xmlns:c16="http://schemas.microsoft.com/office/drawing/2014/chart" uri="{C3380CC4-5D6E-409C-BE32-E72D297353CC}">
              <c16:uniqueId val="{00000010-235F-4917-963E-525D6C125518}"/>
            </c:ext>
          </c:extLst>
        </c:ser>
        <c:dLbls>
          <c:showLegendKey val="0"/>
          <c:showVal val="0"/>
          <c:showCatName val="0"/>
          <c:showSerName val="0"/>
          <c:showPercent val="0"/>
          <c:showBubbleSize val="0"/>
        </c:dLbls>
        <c:marker val="1"/>
        <c:smooth val="0"/>
        <c:axId val="580285616"/>
        <c:axId val="576288856"/>
      </c:line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0.14984483812185495"/>
          <c:h val="0.10860608640136199"/>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2.xml"/><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6" Type="http://schemas.openxmlformats.org/officeDocument/2006/relationships/image" Target="../media/image10.emf"/><Relationship Id="rId8" Type="http://schemas.openxmlformats.org/officeDocument/2006/relationships/image" Target="../media/image20.emf"/><Relationship Id="rId13" Type="http://schemas.openxmlformats.org/officeDocument/2006/relationships/image" Target="../media/image29.emf"/><Relationship Id="rId18" Type="http://schemas.openxmlformats.org/officeDocument/2006/relationships/image" Target="../media/image34.emf"/><Relationship Id="rId3" Type="http://schemas.openxmlformats.org/officeDocument/2006/relationships/image" Target="../media/image24.emf"/><Relationship Id="rId21" Type="http://schemas.openxmlformats.org/officeDocument/2006/relationships/image" Target="../media/image15.emf"/><Relationship Id="rId7" Type="http://schemas.openxmlformats.org/officeDocument/2006/relationships/image" Target="../media/image28.emf"/><Relationship Id="rId12" Type="http://schemas.openxmlformats.org/officeDocument/2006/relationships/image" Target="../media/image17.emf"/><Relationship Id="rId17" Type="http://schemas.openxmlformats.org/officeDocument/2006/relationships/image" Target="../media/image33.emf"/><Relationship Id="rId25" Type="http://schemas.openxmlformats.org/officeDocument/2006/relationships/image" Target="../media/image11.emf"/><Relationship Id="rId2" Type="http://schemas.openxmlformats.org/officeDocument/2006/relationships/image" Target="../media/image23.emf"/><Relationship Id="rId16" Type="http://schemas.openxmlformats.org/officeDocument/2006/relationships/image" Target="../media/image32.emf"/><Relationship Id="rId20" Type="http://schemas.openxmlformats.org/officeDocument/2006/relationships/image" Target="../media/image16.emf"/><Relationship Id="rId29" Type="http://schemas.openxmlformats.org/officeDocument/2006/relationships/image" Target="../media/image7.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18.emf"/><Relationship Id="rId24" Type="http://schemas.openxmlformats.org/officeDocument/2006/relationships/image" Target="../media/image12.emf"/><Relationship Id="rId5" Type="http://schemas.openxmlformats.org/officeDocument/2006/relationships/image" Target="../media/image26.emf"/><Relationship Id="rId15" Type="http://schemas.openxmlformats.org/officeDocument/2006/relationships/image" Target="../media/image31.emf"/><Relationship Id="rId23" Type="http://schemas.openxmlformats.org/officeDocument/2006/relationships/image" Target="../media/image13.emf"/><Relationship Id="rId28" Type="http://schemas.openxmlformats.org/officeDocument/2006/relationships/image" Target="../media/image8.emf"/><Relationship Id="rId10" Type="http://schemas.openxmlformats.org/officeDocument/2006/relationships/image" Target="../media/image19.emf"/><Relationship Id="rId19" Type="http://schemas.openxmlformats.org/officeDocument/2006/relationships/image" Target="../media/image35.emf"/><Relationship Id="rId4" Type="http://schemas.openxmlformats.org/officeDocument/2006/relationships/image" Target="../media/image25.emf"/><Relationship Id="rId9" Type="http://schemas.openxmlformats.org/officeDocument/2006/relationships/image" Target="../media/image21.emf"/><Relationship Id="rId14" Type="http://schemas.openxmlformats.org/officeDocument/2006/relationships/image" Target="../media/image30.emf"/><Relationship Id="rId22" Type="http://schemas.openxmlformats.org/officeDocument/2006/relationships/image" Target="../media/image14.emf"/><Relationship Id="rId27"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59.emf"/><Relationship Id="rId13" Type="http://schemas.openxmlformats.org/officeDocument/2006/relationships/image" Target="../media/image55.emf"/><Relationship Id="rId18" Type="http://schemas.openxmlformats.org/officeDocument/2006/relationships/image" Target="../media/image50.emf"/><Relationship Id="rId26" Type="http://schemas.openxmlformats.org/officeDocument/2006/relationships/image" Target="../media/image42.emf"/><Relationship Id="rId3" Type="http://schemas.openxmlformats.org/officeDocument/2006/relationships/image" Target="../media/image62.emf"/><Relationship Id="rId21" Type="http://schemas.openxmlformats.org/officeDocument/2006/relationships/image" Target="../media/image47.emf"/><Relationship Id="rId7" Type="http://schemas.openxmlformats.org/officeDocument/2006/relationships/image" Target="../media/image60.emf"/><Relationship Id="rId12" Type="http://schemas.openxmlformats.org/officeDocument/2006/relationships/image" Target="../media/image56.emf"/><Relationship Id="rId17" Type="http://schemas.openxmlformats.org/officeDocument/2006/relationships/image" Target="../media/image51.emf"/><Relationship Id="rId25" Type="http://schemas.openxmlformats.org/officeDocument/2006/relationships/image" Target="../media/image43.emf"/><Relationship Id="rId2" Type="http://schemas.openxmlformats.org/officeDocument/2006/relationships/image" Target="../media/image23.emf"/><Relationship Id="rId16" Type="http://schemas.openxmlformats.org/officeDocument/2006/relationships/image" Target="../media/image52.emf"/><Relationship Id="rId20" Type="http://schemas.openxmlformats.org/officeDocument/2006/relationships/image" Target="../media/image48.emf"/><Relationship Id="rId29" Type="http://schemas.openxmlformats.org/officeDocument/2006/relationships/image" Target="../media/image39.emf"/><Relationship Id="rId6" Type="http://schemas.openxmlformats.org/officeDocument/2006/relationships/image" Target="../media/image61.emf"/><Relationship Id="rId11" Type="http://schemas.openxmlformats.org/officeDocument/2006/relationships/image" Target="../media/image57.emf"/><Relationship Id="rId24" Type="http://schemas.openxmlformats.org/officeDocument/2006/relationships/image" Target="../media/image44.emf"/><Relationship Id="rId1" Type="http://schemas.openxmlformats.org/officeDocument/2006/relationships/image" Target="../media/image63.emf"/><Relationship Id="rId5" Type="http://schemas.openxmlformats.org/officeDocument/2006/relationships/image" Target="../media/image26.emf"/><Relationship Id="rId15" Type="http://schemas.openxmlformats.org/officeDocument/2006/relationships/image" Target="../media/image53.emf"/><Relationship Id="rId23" Type="http://schemas.openxmlformats.org/officeDocument/2006/relationships/image" Target="../media/image45.emf"/><Relationship Id="rId28" Type="http://schemas.openxmlformats.org/officeDocument/2006/relationships/image" Target="../media/image40.emf"/><Relationship Id="rId10" Type="http://schemas.openxmlformats.org/officeDocument/2006/relationships/image" Target="../media/image58.emf"/><Relationship Id="rId19" Type="http://schemas.openxmlformats.org/officeDocument/2006/relationships/image" Target="../media/image49.emf"/><Relationship Id="rId4" Type="http://schemas.openxmlformats.org/officeDocument/2006/relationships/image" Target="../media/image25.emf"/><Relationship Id="rId9" Type="http://schemas.openxmlformats.org/officeDocument/2006/relationships/image" Target="../media/image21.emf"/><Relationship Id="rId14" Type="http://schemas.openxmlformats.org/officeDocument/2006/relationships/image" Target="../media/image54.emf"/><Relationship Id="rId22" Type="http://schemas.openxmlformats.org/officeDocument/2006/relationships/image" Target="../media/image46.emf"/><Relationship Id="rId27" Type="http://schemas.openxmlformats.org/officeDocument/2006/relationships/image" Target="../media/image4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19050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66675</xdr:rowOff>
        </xdr:from>
        <xdr:to>
          <xdr:col>7</xdr:col>
          <xdr:colOff>1609725</xdr:colOff>
          <xdr:row>4</xdr:row>
          <xdr:rowOff>342900</xdr:rowOff>
        </xdr:to>
        <xdr:sp macro="" textlink="">
          <xdr:nvSpPr>
            <xdr:cNvPr id="18433" name="cbApplyLevelFormatting" hidden="1">
              <a:extLst>
                <a:ext uri="{63B3BB69-23CF-44E3-9099-C40C66FF867C}">
                  <a14:compatExt spid="_x0000_s18433"/>
                </a:ext>
                <a:ext uri="{FF2B5EF4-FFF2-40B4-BE49-F238E27FC236}">
                  <a16:creationId xmlns:a16="http://schemas.microsoft.com/office/drawing/2014/main" id="{00000000-0008-0000-0100-000001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2809875</xdr:colOff>
          <xdr:row>6</xdr:row>
          <xdr:rowOff>0</xdr:rowOff>
        </xdr:to>
        <xdr:sp macro="" textlink="">
          <xdr:nvSpPr>
            <xdr:cNvPr id="18434" name="Group Box 2" hidden="1">
              <a:extLst>
                <a:ext uri="{63B3BB69-23CF-44E3-9099-C40C66FF867C}">
                  <a14:compatExt spid="_x0000_s18434"/>
                </a:ext>
                <a:ext uri="{FF2B5EF4-FFF2-40B4-BE49-F238E27FC236}">
                  <a16:creationId xmlns:a16="http://schemas.microsoft.com/office/drawing/2014/main" id="{00000000-0008-0000-0100-00000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66675</xdr:rowOff>
        </xdr:from>
        <xdr:to>
          <xdr:col>3</xdr:col>
          <xdr:colOff>2628900</xdr:colOff>
          <xdr:row>5</xdr:row>
          <xdr:rowOff>276225</xdr:rowOff>
        </xdr:to>
        <xdr:sp macro="" textlink="">
          <xdr:nvSpPr>
            <xdr:cNvPr id="18435" name="obLevelRowFirst" hidden="1">
              <a:extLst>
                <a:ext uri="{63B3BB69-23CF-44E3-9099-C40C66FF867C}">
                  <a14:compatExt spid="_x0000_s18435"/>
                </a:ext>
                <a:ext uri="{FF2B5EF4-FFF2-40B4-BE49-F238E27FC236}">
                  <a16:creationId xmlns:a16="http://schemas.microsoft.com/office/drawing/2014/main" id="{00000000-0008-0000-0100-00000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5</xdr:row>
          <xdr:rowOff>66675</xdr:rowOff>
        </xdr:from>
        <xdr:to>
          <xdr:col>3</xdr:col>
          <xdr:colOff>447675</xdr:colOff>
          <xdr:row>5</xdr:row>
          <xdr:rowOff>276225</xdr:rowOff>
        </xdr:to>
        <xdr:sp macro="" textlink="">
          <xdr:nvSpPr>
            <xdr:cNvPr id="18436" name="obLevelColumnFirst" hidden="1">
              <a:extLst>
                <a:ext uri="{63B3BB69-23CF-44E3-9099-C40C66FF867C}">
                  <a14:compatExt spid="_x0000_s18436"/>
                </a:ext>
                <a:ext uri="{FF2B5EF4-FFF2-40B4-BE49-F238E27FC236}">
                  <a16:creationId xmlns:a16="http://schemas.microsoft.com/office/drawing/2014/main" id="{00000000-0008-0000-0100-00000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2752725</xdr:colOff>
          <xdr:row>5</xdr:row>
          <xdr:rowOff>0</xdr:rowOff>
        </xdr:from>
        <xdr:to>
          <xdr:col>8</xdr:col>
          <xdr:colOff>180975</xdr:colOff>
          <xdr:row>6</xdr:row>
          <xdr:rowOff>0</xdr:rowOff>
        </xdr:to>
        <xdr:sp macro="" textlink="">
          <xdr:nvSpPr>
            <xdr:cNvPr id="18437" name="Group Box 5" hidden="1">
              <a:extLst>
                <a:ext uri="{63B3BB69-23CF-44E3-9099-C40C66FF867C}">
                  <a14:compatExt spid="_x0000_s18437"/>
                </a:ext>
                <a:ext uri="{FF2B5EF4-FFF2-40B4-BE49-F238E27FC236}">
                  <a16:creationId xmlns:a16="http://schemas.microsoft.com/office/drawing/2014/main" id="{00000000-0008-0000-0100-000005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66675</xdr:rowOff>
        </xdr:from>
        <xdr:to>
          <xdr:col>4</xdr:col>
          <xdr:colOff>180975</xdr:colOff>
          <xdr:row>5</xdr:row>
          <xdr:rowOff>276225</xdr:rowOff>
        </xdr:to>
        <xdr:sp macro="" textlink="">
          <xdr:nvSpPr>
            <xdr:cNvPr id="18438" name="obRelativeLevelHierarchy" hidden="1">
              <a:extLst>
                <a:ext uri="{63B3BB69-23CF-44E3-9099-C40C66FF867C}">
                  <a14:compatExt spid="_x0000_s18438"/>
                </a:ext>
                <a:ext uri="{FF2B5EF4-FFF2-40B4-BE49-F238E27FC236}">
                  <a16:creationId xmlns:a16="http://schemas.microsoft.com/office/drawing/2014/main" id="{00000000-0008-0000-0100-00000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2771775</xdr:colOff>
          <xdr:row>5</xdr:row>
          <xdr:rowOff>66675</xdr:rowOff>
        </xdr:from>
        <xdr:to>
          <xdr:col>3</xdr:col>
          <xdr:colOff>4200525</xdr:colOff>
          <xdr:row>5</xdr:row>
          <xdr:rowOff>276225</xdr:rowOff>
        </xdr:to>
        <xdr:sp macro="" textlink="">
          <xdr:nvSpPr>
            <xdr:cNvPr id="18439" name="obDatabaseLevelHierarchy" hidden="1">
              <a:extLst>
                <a:ext uri="{63B3BB69-23CF-44E3-9099-C40C66FF867C}">
                  <a14:compatExt spid="_x0000_s18439"/>
                </a:ext>
                <a:ext uri="{FF2B5EF4-FFF2-40B4-BE49-F238E27FC236}">
                  <a16:creationId xmlns:a16="http://schemas.microsoft.com/office/drawing/2014/main" id="{00000000-0008-0000-0100-00000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5</xdr:row>
          <xdr:rowOff>0</xdr:rowOff>
        </xdr:from>
        <xdr:to>
          <xdr:col>11</xdr:col>
          <xdr:colOff>2428875</xdr:colOff>
          <xdr:row>5</xdr:row>
          <xdr:rowOff>342900</xdr:rowOff>
        </xdr:to>
        <xdr:sp macro="" textlink="">
          <xdr:nvSpPr>
            <xdr:cNvPr id="18440" name="cbApplyLevelFromTopToBottom" hidden="1">
              <a:extLst>
                <a:ext uri="{63B3BB69-23CF-44E3-9099-C40C66FF867C}">
                  <a14:compatExt spid="_x0000_s18440"/>
                </a:ext>
                <a:ext uri="{FF2B5EF4-FFF2-40B4-BE49-F238E27FC236}">
                  <a16:creationId xmlns:a16="http://schemas.microsoft.com/office/drawing/2014/main" id="{00000000-0008-0000-0100-00000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12</xdr:row>
          <xdr:rowOff>142875</xdr:rowOff>
        </xdr:from>
        <xdr:to>
          <xdr:col>11</xdr:col>
          <xdr:colOff>1133475</xdr:colOff>
          <xdr:row>13</xdr:row>
          <xdr:rowOff>123825</xdr:rowOff>
        </xdr:to>
        <xdr:sp macro="" textlink="">
          <xdr:nvSpPr>
            <xdr:cNvPr id="18441" name="LVL1tbFormattingByLevel" hidden="1">
              <a:extLst>
                <a:ext uri="{63B3BB69-23CF-44E3-9099-C40C66FF867C}">
                  <a14:compatExt spid="_x0000_s18441"/>
                </a:ext>
                <a:ext uri="{FF2B5EF4-FFF2-40B4-BE49-F238E27FC236}">
                  <a16:creationId xmlns:a16="http://schemas.microsoft.com/office/drawing/2014/main" id="{00000000-0008-0000-0100-000009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en-GB"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12</xdr:row>
          <xdr:rowOff>0</xdr:rowOff>
        </xdr:from>
        <xdr:to>
          <xdr:col>12</xdr:col>
          <xdr:colOff>0</xdr:colOff>
          <xdr:row>14</xdr:row>
          <xdr:rowOff>0</xdr:rowOff>
        </xdr:to>
        <xdr:sp macro="" textlink="">
          <xdr:nvSpPr>
            <xdr:cNvPr id="18442" name="Group Box 10" hidden="1">
              <a:extLst>
                <a:ext uri="{63B3BB69-23CF-44E3-9099-C40C66FF867C}">
                  <a14:compatExt spid="_x0000_s18442"/>
                </a:ext>
                <a:ext uri="{FF2B5EF4-FFF2-40B4-BE49-F238E27FC236}">
                  <a16:creationId xmlns:a16="http://schemas.microsoft.com/office/drawing/2014/main" id="{00000000-0008-0000-0100-00000A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12</xdr:row>
          <xdr:rowOff>228600</xdr:rowOff>
        </xdr:from>
        <xdr:to>
          <xdr:col>11</xdr:col>
          <xdr:colOff>2105025</xdr:colOff>
          <xdr:row>13</xdr:row>
          <xdr:rowOff>152400</xdr:rowOff>
        </xdr:to>
        <xdr:sp macro="" textlink="">
          <xdr:nvSpPr>
            <xdr:cNvPr id="18443" name="obLevelOuterFirst" hidden="1">
              <a:extLst>
                <a:ext uri="{63B3BB69-23CF-44E3-9099-C40C66FF867C}">
                  <a14:compatExt spid="_x0000_s18443"/>
                </a:ext>
                <a:ext uri="{FF2B5EF4-FFF2-40B4-BE49-F238E27FC236}">
                  <a16:creationId xmlns:a16="http://schemas.microsoft.com/office/drawing/2014/main" id="{00000000-0008-0000-0100-00000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12</xdr:row>
          <xdr:rowOff>28575</xdr:rowOff>
        </xdr:from>
        <xdr:to>
          <xdr:col>11</xdr:col>
          <xdr:colOff>2105025</xdr:colOff>
          <xdr:row>12</xdr:row>
          <xdr:rowOff>257175</xdr:rowOff>
        </xdr:to>
        <xdr:sp macro="" textlink="">
          <xdr:nvSpPr>
            <xdr:cNvPr id="18444" name="obLevelInnerFirst" hidden="1">
              <a:extLst>
                <a:ext uri="{63B3BB69-23CF-44E3-9099-C40C66FF867C}">
                  <a14:compatExt spid="_x0000_s18444"/>
                </a:ext>
                <a:ext uri="{FF2B5EF4-FFF2-40B4-BE49-F238E27FC236}">
                  <a16:creationId xmlns:a16="http://schemas.microsoft.com/office/drawing/2014/main" id="{00000000-0008-0000-0100-00000C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14</xdr:row>
          <xdr:rowOff>200025</xdr:rowOff>
        </xdr:from>
        <xdr:to>
          <xdr:col>2</xdr:col>
          <xdr:colOff>1019175</xdr:colOff>
          <xdr:row>17</xdr:row>
          <xdr:rowOff>38100</xdr:rowOff>
        </xdr:to>
        <xdr:sp macro="" textlink="">
          <xdr:nvSpPr>
            <xdr:cNvPr id="18445" name="cbUseDefaultLevelFirst" hidden="1">
              <a:extLst>
                <a:ext uri="{63B3BB69-23CF-44E3-9099-C40C66FF867C}">
                  <a14:compatExt spid="_x0000_s18445"/>
                </a:ext>
                <a:ext uri="{FF2B5EF4-FFF2-40B4-BE49-F238E27FC236}">
                  <a16:creationId xmlns:a16="http://schemas.microsoft.com/office/drawing/2014/main" id="{00000000-0008-0000-0100-00000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0</xdr:rowOff>
        </xdr:from>
        <xdr:to>
          <xdr:col>2</xdr:col>
          <xdr:colOff>1019175</xdr:colOff>
          <xdr:row>19</xdr:row>
          <xdr:rowOff>190500</xdr:rowOff>
        </xdr:to>
        <xdr:sp macro="" textlink="">
          <xdr:nvSpPr>
            <xdr:cNvPr id="18446" name="cbUseLeafLevelFirst" hidden="1">
              <a:extLst>
                <a:ext uri="{63B3BB69-23CF-44E3-9099-C40C66FF867C}">
                  <a14:compatExt spid="_x0000_s18446"/>
                </a:ext>
                <a:ext uri="{FF2B5EF4-FFF2-40B4-BE49-F238E27FC236}">
                  <a16:creationId xmlns:a16="http://schemas.microsoft.com/office/drawing/2014/main" id="{00000000-0008-0000-0100-00000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0</xdr:rowOff>
        </xdr:from>
        <xdr:to>
          <xdr:col>2</xdr:col>
          <xdr:colOff>1019175</xdr:colOff>
          <xdr:row>19</xdr:row>
          <xdr:rowOff>104775</xdr:rowOff>
        </xdr:to>
        <xdr:sp macro="" textlink="">
          <xdr:nvSpPr>
            <xdr:cNvPr id="18447" name="cbUseSpecificLevelFirst" hidden="1">
              <a:extLst>
                <a:ext uri="{63B3BB69-23CF-44E3-9099-C40C66FF867C}">
                  <a14:compatExt spid="_x0000_s18447"/>
                </a:ext>
                <a:ext uri="{FF2B5EF4-FFF2-40B4-BE49-F238E27FC236}">
                  <a16:creationId xmlns:a16="http://schemas.microsoft.com/office/drawing/2014/main" id="{00000000-0008-0000-0100-00000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28575</xdr:colOff>
          <xdr:row>6</xdr:row>
          <xdr:rowOff>142875</xdr:rowOff>
        </xdr:from>
        <xdr:to>
          <xdr:col>11</xdr:col>
          <xdr:colOff>1133475</xdr:colOff>
          <xdr:row>7</xdr:row>
          <xdr:rowOff>142875</xdr:rowOff>
        </xdr:to>
        <xdr:sp macro="" textlink="">
          <xdr:nvSpPr>
            <xdr:cNvPr id="18450" name="LVL2tbFormattingByLevel" hidden="1">
              <a:extLst>
                <a:ext uri="{63B3BB69-23CF-44E3-9099-C40C66FF867C}">
                  <a14:compatExt spid="_x0000_s18450"/>
                </a:ext>
                <a:ext uri="{FF2B5EF4-FFF2-40B4-BE49-F238E27FC236}">
                  <a16:creationId xmlns:a16="http://schemas.microsoft.com/office/drawing/2014/main" id="{00000000-0008-0000-0100-000012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en-GB"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6</xdr:row>
          <xdr:rowOff>0</xdr:rowOff>
        </xdr:from>
        <xdr:to>
          <xdr:col>12</xdr:col>
          <xdr:colOff>0</xdr:colOff>
          <xdr:row>8</xdr:row>
          <xdr:rowOff>0</xdr:rowOff>
        </xdr:to>
        <xdr:sp macro="" textlink="">
          <xdr:nvSpPr>
            <xdr:cNvPr id="18451" name="Group Box 19" hidden="1">
              <a:extLst>
                <a:ext uri="{63B3BB69-23CF-44E3-9099-C40C66FF867C}">
                  <a14:compatExt spid="_x0000_s18451"/>
                </a:ext>
                <a:ext uri="{FF2B5EF4-FFF2-40B4-BE49-F238E27FC236}">
                  <a16:creationId xmlns:a16="http://schemas.microsoft.com/office/drawing/2014/main" id="{00000000-0008-0000-0100-000013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6</xdr:row>
          <xdr:rowOff>228600</xdr:rowOff>
        </xdr:from>
        <xdr:to>
          <xdr:col>11</xdr:col>
          <xdr:colOff>2105025</xdr:colOff>
          <xdr:row>7</xdr:row>
          <xdr:rowOff>180975</xdr:rowOff>
        </xdr:to>
        <xdr:sp macro="" textlink="">
          <xdr:nvSpPr>
            <xdr:cNvPr id="18452" name="obLevelOuterSecond" hidden="1">
              <a:extLst>
                <a:ext uri="{63B3BB69-23CF-44E3-9099-C40C66FF867C}">
                  <a14:compatExt spid="_x0000_s18452"/>
                </a:ext>
                <a:ext uri="{FF2B5EF4-FFF2-40B4-BE49-F238E27FC236}">
                  <a16:creationId xmlns:a16="http://schemas.microsoft.com/office/drawing/2014/main" id="{00000000-0008-0000-0100-00001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6</xdr:row>
          <xdr:rowOff>38100</xdr:rowOff>
        </xdr:from>
        <xdr:to>
          <xdr:col>11</xdr:col>
          <xdr:colOff>2105025</xdr:colOff>
          <xdr:row>6</xdr:row>
          <xdr:rowOff>257175</xdr:rowOff>
        </xdr:to>
        <xdr:sp macro="" textlink="">
          <xdr:nvSpPr>
            <xdr:cNvPr id="18453" name="obLevelInnerSecond" hidden="1">
              <a:extLst>
                <a:ext uri="{63B3BB69-23CF-44E3-9099-C40C66FF867C}">
                  <a14:compatExt spid="_x0000_s18453"/>
                </a:ext>
                <a:ext uri="{FF2B5EF4-FFF2-40B4-BE49-F238E27FC236}">
                  <a16:creationId xmlns:a16="http://schemas.microsoft.com/office/drawing/2014/main" id="{00000000-0008-0000-0100-000015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38100</xdr:rowOff>
        </xdr:to>
        <xdr:sp macro="" textlink="">
          <xdr:nvSpPr>
            <xdr:cNvPr id="18454" name="cbUseDefaultLevelSecond" hidden="1">
              <a:extLst>
                <a:ext uri="{63B3BB69-23CF-44E3-9099-C40C66FF867C}">
                  <a14:compatExt spid="_x0000_s18454"/>
                </a:ext>
                <a:ext uri="{FF2B5EF4-FFF2-40B4-BE49-F238E27FC236}">
                  <a16:creationId xmlns:a16="http://schemas.microsoft.com/office/drawing/2014/main" id="{00000000-0008-0000-0100-00001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12</xdr:row>
          <xdr:rowOff>0</xdr:rowOff>
        </xdr:from>
        <xdr:to>
          <xdr:col>2</xdr:col>
          <xdr:colOff>1019175</xdr:colOff>
          <xdr:row>13</xdr:row>
          <xdr:rowOff>28575</xdr:rowOff>
        </xdr:to>
        <xdr:sp macro="" textlink="">
          <xdr:nvSpPr>
            <xdr:cNvPr id="18455" name="cbUseLeafLevelSecond" hidden="1">
              <a:extLst>
                <a:ext uri="{63B3BB69-23CF-44E3-9099-C40C66FF867C}">
                  <a14:compatExt spid="_x0000_s18455"/>
                </a:ext>
                <a:ext uri="{FF2B5EF4-FFF2-40B4-BE49-F238E27FC236}">
                  <a16:creationId xmlns:a16="http://schemas.microsoft.com/office/drawing/2014/main" id="{00000000-0008-0000-0100-00001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12</xdr:row>
          <xdr:rowOff>0</xdr:rowOff>
        </xdr:from>
        <xdr:to>
          <xdr:col>2</xdr:col>
          <xdr:colOff>1019175</xdr:colOff>
          <xdr:row>12</xdr:row>
          <xdr:rowOff>219075</xdr:rowOff>
        </xdr:to>
        <xdr:sp macro="" textlink="">
          <xdr:nvSpPr>
            <xdr:cNvPr id="18456" name="cbUseSpecificLevelSecond" hidden="1">
              <a:extLst>
                <a:ext uri="{63B3BB69-23CF-44E3-9099-C40C66FF867C}">
                  <a14:compatExt spid="_x0000_s18456"/>
                </a:ext>
                <a:ext uri="{FF2B5EF4-FFF2-40B4-BE49-F238E27FC236}">
                  <a16:creationId xmlns:a16="http://schemas.microsoft.com/office/drawing/2014/main" id="{00000000-0008-0000-0100-00001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485775</xdr:colOff>
          <xdr:row>21</xdr:row>
          <xdr:rowOff>66675</xdr:rowOff>
        </xdr:from>
        <xdr:to>
          <xdr:col>9</xdr:col>
          <xdr:colOff>609600</xdr:colOff>
          <xdr:row>21</xdr:row>
          <xdr:rowOff>342900</xdr:rowOff>
        </xdr:to>
        <xdr:sp macro="" textlink="">
          <xdr:nvSpPr>
            <xdr:cNvPr id="18459" name="cbApplyMemberFormatting" hidden="1">
              <a:extLst>
                <a:ext uri="{63B3BB69-23CF-44E3-9099-C40C66FF867C}">
                  <a14:compatExt spid="_x0000_s18459"/>
                </a:ext>
                <a:ext uri="{FF2B5EF4-FFF2-40B4-BE49-F238E27FC236}">
                  <a16:creationId xmlns:a16="http://schemas.microsoft.com/office/drawing/2014/main" id="{00000000-0008-0000-0100-00001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1285875</xdr:colOff>
          <xdr:row>23</xdr:row>
          <xdr:rowOff>0</xdr:rowOff>
        </xdr:to>
        <xdr:sp macro="" textlink="">
          <xdr:nvSpPr>
            <xdr:cNvPr id="18460" name="Group Box 28" hidden="1">
              <a:extLst>
                <a:ext uri="{63B3BB69-23CF-44E3-9099-C40C66FF867C}">
                  <a14:compatExt spid="_x0000_s18460"/>
                </a:ext>
                <a:ext uri="{FF2B5EF4-FFF2-40B4-BE49-F238E27FC236}">
                  <a16:creationId xmlns:a16="http://schemas.microsoft.com/office/drawing/2014/main" id="{00000000-0008-0000-0100-00001C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22</xdr:row>
          <xdr:rowOff>66675</xdr:rowOff>
        </xdr:from>
        <xdr:to>
          <xdr:col>3</xdr:col>
          <xdr:colOff>2628900</xdr:colOff>
          <xdr:row>22</xdr:row>
          <xdr:rowOff>276225</xdr:rowOff>
        </xdr:to>
        <xdr:sp macro="" textlink="">
          <xdr:nvSpPr>
            <xdr:cNvPr id="18461" name="obMemberRowFirst" hidden="1">
              <a:extLst>
                <a:ext uri="{63B3BB69-23CF-44E3-9099-C40C66FF867C}">
                  <a14:compatExt spid="_x0000_s18461"/>
                </a:ext>
                <a:ext uri="{FF2B5EF4-FFF2-40B4-BE49-F238E27FC236}">
                  <a16:creationId xmlns:a16="http://schemas.microsoft.com/office/drawing/2014/main" id="{00000000-0008-0000-0100-00001D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22</xdr:row>
          <xdr:rowOff>66675</xdr:rowOff>
        </xdr:from>
        <xdr:to>
          <xdr:col>3</xdr:col>
          <xdr:colOff>447675</xdr:colOff>
          <xdr:row>22</xdr:row>
          <xdr:rowOff>276225</xdr:rowOff>
        </xdr:to>
        <xdr:sp macro="" textlink="">
          <xdr:nvSpPr>
            <xdr:cNvPr id="18462" name="obMemberColumnFirst" hidden="1">
              <a:extLst>
                <a:ext uri="{63B3BB69-23CF-44E3-9099-C40C66FF867C}">
                  <a14:compatExt spid="_x0000_s18462"/>
                </a:ext>
                <a:ext uri="{FF2B5EF4-FFF2-40B4-BE49-F238E27FC236}">
                  <a16:creationId xmlns:a16="http://schemas.microsoft.com/office/drawing/2014/main" id="{00000000-0008-0000-0100-00001E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24</xdr:row>
          <xdr:rowOff>200025</xdr:rowOff>
        </xdr:from>
        <xdr:to>
          <xdr:col>2</xdr:col>
          <xdr:colOff>1019175</xdr:colOff>
          <xdr:row>27</xdr:row>
          <xdr:rowOff>38100</xdr:rowOff>
        </xdr:to>
        <xdr:sp macro="" textlink="">
          <xdr:nvSpPr>
            <xdr:cNvPr id="18463" name="cbApplyCustomMemberDefaultFirst" hidden="1">
              <a:extLst>
                <a:ext uri="{63B3BB69-23CF-44E3-9099-C40C66FF867C}">
                  <a14:compatExt spid="_x0000_s18463"/>
                </a:ext>
                <a:ext uri="{FF2B5EF4-FFF2-40B4-BE49-F238E27FC236}">
                  <a16:creationId xmlns:a16="http://schemas.microsoft.com/office/drawing/2014/main" id="{00000000-0008-0000-0100-00001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25</xdr:row>
          <xdr:rowOff>0</xdr:rowOff>
        </xdr:from>
        <xdr:to>
          <xdr:col>2</xdr:col>
          <xdr:colOff>1019175</xdr:colOff>
          <xdr:row>28</xdr:row>
          <xdr:rowOff>9525</xdr:rowOff>
        </xdr:to>
        <xdr:sp macro="" textlink="">
          <xdr:nvSpPr>
            <xdr:cNvPr id="18464" name="cbApplyCalculatedMemberFirst" hidden="1">
              <a:extLst>
                <a:ext uri="{63B3BB69-23CF-44E3-9099-C40C66FF867C}">
                  <a14:compatExt spid="_x0000_s18464"/>
                </a:ext>
                <a:ext uri="{FF2B5EF4-FFF2-40B4-BE49-F238E27FC236}">
                  <a16:creationId xmlns:a16="http://schemas.microsoft.com/office/drawing/2014/main" id="{00000000-0008-0000-0100-00002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28</xdr:row>
          <xdr:rowOff>0</xdr:rowOff>
        </xdr:from>
        <xdr:to>
          <xdr:col>2</xdr:col>
          <xdr:colOff>1019175</xdr:colOff>
          <xdr:row>30</xdr:row>
          <xdr:rowOff>38100</xdr:rowOff>
        </xdr:to>
        <xdr:sp macro="" textlink="">
          <xdr:nvSpPr>
            <xdr:cNvPr id="18465" name="cbApplyImputableMemberFirst" hidden="1">
              <a:extLst>
                <a:ext uri="{63B3BB69-23CF-44E3-9099-C40C66FF867C}">
                  <a14:compatExt spid="_x0000_s18465"/>
                </a:ext>
                <a:ext uri="{FF2B5EF4-FFF2-40B4-BE49-F238E27FC236}">
                  <a16:creationId xmlns:a16="http://schemas.microsoft.com/office/drawing/2014/main" id="{00000000-0008-0000-0100-00002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31</xdr:row>
          <xdr:rowOff>0</xdr:rowOff>
        </xdr:from>
        <xdr:to>
          <xdr:col>2</xdr:col>
          <xdr:colOff>1019175</xdr:colOff>
          <xdr:row>33</xdr:row>
          <xdr:rowOff>38100</xdr:rowOff>
        </xdr:to>
        <xdr:sp macro="" textlink="">
          <xdr:nvSpPr>
            <xdr:cNvPr id="18466" name="cbApplyLocalMemberFirst" hidden="1">
              <a:extLst>
                <a:ext uri="{63B3BB69-23CF-44E3-9099-C40C66FF867C}">
                  <a14:compatExt spid="_x0000_s18466"/>
                </a:ext>
                <a:ext uri="{FF2B5EF4-FFF2-40B4-BE49-F238E27FC236}">
                  <a16:creationId xmlns:a16="http://schemas.microsoft.com/office/drawing/2014/main" id="{00000000-0008-0000-0100-00002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34</xdr:row>
          <xdr:rowOff>0</xdr:rowOff>
        </xdr:from>
        <xdr:to>
          <xdr:col>2</xdr:col>
          <xdr:colOff>1019175</xdr:colOff>
          <xdr:row>36</xdr:row>
          <xdr:rowOff>38100</xdr:rowOff>
        </xdr:to>
        <xdr:sp macro="" textlink="">
          <xdr:nvSpPr>
            <xdr:cNvPr id="18467" name="cbApplyChangedMemberFirst" hidden="1">
              <a:extLst>
                <a:ext uri="{63B3BB69-23CF-44E3-9099-C40C66FF867C}">
                  <a14:compatExt spid="_x0000_s18467"/>
                </a:ext>
                <a:ext uri="{FF2B5EF4-FFF2-40B4-BE49-F238E27FC236}">
                  <a16:creationId xmlns:a16="http://schemas.microsoft.com/office/drawing/2014/main" id="{00000000-0008-0000-0100-00002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37</xdr:row>
          <xdr:rowOff>47625</xdr:rowOff>
        </xdr:from>
        <xdr:to>
          <xdr:col>2</xdr:col>
          <xdr:colOff>1019175</xdr:colOff>
          <xdr:row>39</xdr:row>
          <xdr:rowOff>0</xdr:rowOff>
        </xdr:to>
        <xdr:sp macro="" textlink="">
          <xdr:nvSpPr>
            <xdr:cNvPr id="18468" name="cbApplySpecificMemberFirst" hidden="1">
              <a:extLst>
                <a:ext uri="{63B3BB69-23CF-44E3-9099-C40C66FF867C}">
                  <a14:compatExt spid="_x0000_s18468"/>
                </a:ext>
                <a:ext uri="{FF2B5EF4-FFF2-40B4-BE49-F238E27FC236}">
                  <a16:creationId xmlns:a16="http://schemas.microsoft.com/office/drawing/2014/main" id="{00000000-0008-0000-0100-00002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66675</xdr:colOff>
          <xdr:row>45</xdr:row>
          <xdr:rowOff>28575</xdr:rowOff>
        </xdr:from>
        <xdr:to>
          <xdr:col>3</xdr:col>
          <xdr:colOff>4295775</xdr:colOff>
          <xdr:row>45</xdr:row>
          <xdr:rowOff>266700</xdr:rowOff>
        </xdr:to>
        <xdr:sp macro="" textlink="">
          <xdr:nvSpPr>
            <xdr:cNvPr id="18469" name="AddMemberFirst" hidden="1">
              <a:extLst>
                <a:ext uri="{63B3BB69-23CF-44E3-9099-C40C66FF867C}">
                  <a14:compatExt spid="_x0000_s18469"/>
                </a:ext>
                <a:ext uri="{FF2B5EF4-FFF2-40B4-BE49-F238E27FC236}">
                  <a16:creationId xmlns:a16="http://schemas.microsoft.com/office/drawing/2014/main" id="{00000000-0008-0000-0100-00002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49</xdr:row>
          <xdr:rowOff>0</xdr:rowOff>
        </xdr:from>
        <xdr:to>
          <xdr:col>2</xdr:col>
          <xdr:colOff>1019175</xdr:colOff>
          <xdr:row>51</xdr:row>
          <xdr:rowOff>38100</xdr:rowOff>
        </xdr:to>
        <xdr:sp macro="" textlink="">
          <xdr:nvSpPr>
            <xdr:cNvPr id="18470" name="cbApplyCustomMemberDefaultSecond" hidden="1">
              <a:extLst>
                <a:ext uri="{63B3BB69-23CF-44E3-9099-C40C66FF867C}">
                  <a14:compatExt spid="_x0000_s18470"/>
                </a:ext>
                <a:ext uri="{FF2B5EF4-FFF2-40B4-BE49-F238E27FC236}">
                  <a16:creationId xmlns:a16="http://schemas.microsoft.com/office/drawing/2014/main" id="{00000000-0008-0000-0100-00002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49</xdr:row>
          <xdr:rowOff>0</xdr:rowOff>
        </xdr:from>
        <xdr:to>
          <xdr:col>2</xdr:col>
          <xdr:colOff>1019175</xdr:colOff>
          <xdr:row>52</xdr:row>
          <xdr:rowOff>0</xdr:rowOff>
        </xdr:to>
        <xdr:sp macro="" textlink="">
          <xdr:nvSpPr>
            <xdr:cNvPr id="18471" name="cbApplyCalculatedMemberSecond" hidden="1">
              <a:extLst>
                <a:ext uri="{63B3BB69-23CF-44E3-9099-C40C66FF867C}">
                  <a14:compatExt spid="_x0000_s18471"/>
                </a:ext>
                <a:ext uri="{FF2B5EF4-FFF2-40B4-BE49-F238E27FC236}">
                  <a16:creationId xmlns:a16="http://schemas.microsoft.com/office/drawing/2014/main" id="{00000000-0008-0000-0100-00002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52</xdr:row>
          <xdr:rowOff>0</xdr:rowOff>
        </xdr:from>
        <xdr:to>
          <xdr:col>2</xdr:col>
          <xdr:colOff>1019175</xdr:colOff>
          <xdr:row>54</xdr:row>
          <xdr:rowOff>38100</xdr:rowOff>
        </xdr:to>
        <xdr:sp macro="" textlink="">
          <xdr:nvSpPr>
            <xdr:cNvPr id="18472" name="cbApplyImputableMemberSecond" hidden="1">
              <a:extLst>
                <a:ext uri="{63B3BB69-23CF-44E3-9099-C40C66FF867C}">
                  <a14:compatExt spid="_x0000_s18472"/>
                </a:ext>
                <a:ext uri="{FF2B5EF4-FFF2-40B4-BE49-F238E27FC236}">
                  <a16:creationId xmlns:a16="http://schemas.microsoft.com/office/drawing/2014/main" id="{00000000-0008-0000-0100-000028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55</xdr:row>
          <xdr:rowOff>0</xdr:rowOff>
        </xdr:from>
        <xdr:to>
          <xdr:col>2</xdr:col>
          <xdr:colOff>1019175</xdr:colOff>
          <xdr:row>57</xdr:row>
          <xdr:rowOff>38100</xdr:rowOff>
        </xdr:to>
        <xdr:sp macro="" textlink="">
          <xdr:nvSpPr>
            <xdr:cNvPr id="18473" name="cbApplyLocalMemberSecond" hidden="1">
              <a:extLst>
                <a:ext uri="{63B3BB69-23CF-44E3-9099-C40C66FF867C}">
                  <a14:compatExt spid="_x0000_s18473"/>
                </a:ext>
                <a:ext uri="{FF2B5EF4-FFF2-40B4-BE49-F238E27FC236}">
                  <a16:creationId xmlns:a16="http://schemas.microsoft.com/office/drawing/2014/main" id="{00000000-0008-0000-0100-000029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58</xdr:row>
          <xdr:rowOff>0</xdr:rowOff>
        </xdr:from>
        <xdr:to>
          <xdr:col>2</xdr:col>
          <xdr:colOff>1019175</xdr:colOff>
          <xdr:row>60</xdr:row>
          <xdr:rowOff>38100</xdr:rowOff>
        </xdr:to>
        <xdr:sp macro="" textlink="">
          <xdr:nvSpPr>
            <xdr:cNvPr id="18474" name="cbApplyChangedMemberSecond" hidden="1">
              <a:extLst>
                <a:ext uri="{63B3BB69-23CF-44E3-9099-C40C66FF867C}">
                  <a14:compatExt spid="_x0000_s18474"/>
                </a:ext>
                <a:ext uri="{FF2B5EF4-FFF2-40B4-BE49-F238E27FC236}">
                  <a16:creationId xmlns:a16="http://schemas.microsoft.com/office/drawing/2014/main" id="{00000000-0008-0000-0100-00002A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61</xdr:row>
          <xdr:rowOff>47625</xdr:rowOff>
        </xdr:from>
        <xdr:to>
          <xdr:col>2</xdr:col>
          <xdr:colOff>1019175</xdr:colOff>
          <xdr:row>63</xdr:row>
          <xdr:rowOff>0</xdr:rowOff>
        </xdr:to>
        <xdr:sp macro="" textlink="">
          <xdr:nvSpPr>
            <xdr:cNvPr id="18475" name="cbApplySpecificMemberSecond" hidden="1">
              <a:extLst>
                <a:ext uri="{63B3BB69-23CF-44E3-9099-C40C66FF867C}">
                  <a14:compatExt spid="_x0000_s18475"/>
                </a:ext>
                <a:ext uri="{FF2B5EF4-FFF2-40B4-BE49-F238E27FC236}">
                  <a16:creationId xmlns:a16="http://schemas.microsoft.com/office/drawing/2014/main" id="{00000000-0008-0000-0100-00002B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66675</xdr:colOff>
          <xdr:row>84</xdr:row>
          <xdr:rowOff>28575</xdr:rowOff>
        </xdr:from>
        <xdr:to>
          <xdr:col>3</xdr:col>
          <xdr:colOff>4295775</xdr:colOff>
          <xdr:row>84</xdr:row>
          <xdr:rowOff>266700</xdr:rowOff>
        </xdr:to>
        <xdr:sp macro="" textlink="">
          <xdr:nvSpPr>
            <xdr:cNvPr id="18476" name="AddMemberSecond" hidden="1">
              <a:extLst>
                <a:ext uri="{63B3BB69-23CF-44E3-9099-C40C66FF867C}">
                  <a14:compatExt spid="_x0000_s18476"/>
                </a:ext>
                <a:ext uri="{FF2B5EF4-FFF2-40B4-BE49-F238E27FC236}">
                  <a16:creationId xmlns:a16="http://schemas.microsoft.com/office/drawing/2014/main" id="{00000000-0008-0000-0100-00002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66675</xdr:rowOff>
        </xdr:from>
        <xdr:to>
          <xdr:col>7</xdr:col>
          <xdr:colOff>1800225</xdr:colOff>
          <xdr:row>88</xdr:row>
          <xdr:rowOff>342900</xdr:rowOff>
        </xdr:to>
        <xdr:sp macro="" textlink="">
          <xdr:nvSpPr>
            <xdr:cNvPr id="18477" name="cbApplyOddEvenFormatting" hidden="1">
              <a:extLst>
                <a:ext uri="{63B3BB69-23CF-44E3-9099-C40C66FF867C}">
                  <a14:compatExt spid="_x0000_s18477"/>
                </a:ext>
                <a:ext uri="{FF2B5EF4-FFF2-40B4-BE49-F238E27FC236}">
                  <a16:creationId xmlns:a16="http://schemas.microsoft.com/office/drawing/2014/main" id="{00000000-0008-0000-0100-00002D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1285875</xdr:colOff>
          <xdr:row>90</xdr:row>
          <xdr:rowOff>0</xdr:rowOff>
        </xdr:to>
        <xdr:sp macro="" textlink="">
          <xdr:nvSpPr>
            <xdr:cNvPr id="18478" name="Group Box 46" hidden="1">
              <a:extLst>
                <a:ext uri="{63B3BB69-23CF-44E3-9099-C40C66FF867C}">
                  <a14:compatExt spid="_x0000_s18478"/>
                </a:ext>
                <a:ext uri="{FF2B5EF4-FFF2-40B4-BE49-F238E27FC236}">
                  <a16:creationId xmlns:a16="http://schemas.microsoft.com/office/drawing/2014/main" id="{00000000-0008-0000-0100-00002E4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89</xdr:row>
          <xdr:rowOff>66675</xdr:rowOff>
        </xdr:from>
        <xdr:to>
          <xdr:col>3</xdr:col>
          <xdr:colOff>2628900</xdr:colOff>
          <xdr:row>89</xdr:row>
          <xdr:rowOff>276225</xdr:rowOff>
        </xdr:to>
        <xdr:sp macro="" textlink="">
          <xdr:nvSpPr>
            <xdr:cNvPr id="18479" name="obOddEvenRowFirst" hidden="1">
              <a:extLst>
                <a:ext uri="{63B3BB69-23CF-44E3-9099-C40C66FF867C}">
                  <a14:compatExt spid="_x0000_s18479"/>
                </a:ext>
                <a:ext uri="{FF2B5EF4-FFF2-40B4-BE49-F238E27FC236}">
                  <a16:creationId xmlns:a16="http://schemas.microsoft.com/office/drawing/2014/main" id="{00000000-0008-0000-0100-00002F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219075</xdr:colOff>
          <xdr:row>89</xdr:row>
          <xdr:rowOff>66675</xdr:rowOff>
        </xdr:from>
        <xdr:to>
          <xdr:col>3</xdr:col>
          <xdr:colOff>447675</xdr:colOff>
          <xdr:row>89</xdr:row>
          <xdr:rowOff>276225</xdr:rowOff>
        </xdr:to>
        <xdr:sp macro="" textlink="">
          <xdr:nvSpPr>
            <xdr:cNvPr id="18480" name="obOddEvenColumnFirst" hidden="1">
              <a:extLst>
                <a:ext uri="{63B3BB69-23CF-44E3-9099-C40C66FF867C}">
                  <a14:compatExt spid="_x0000_s18480"/>
                </a:ext>
                <a:ext uri="{FF2B5EF4-FFF2-40B4-BE49-F238E27FC236}">
                  <a16:creationId xmlns:a16="http://schemas.microsoft.com/office/drawing/2014/main" id="{00000000-0008-0000-0100-000030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92</xdr:row>
          <xdr:rowOff>0</xdr:rowOff>
        </xdr:from>
        <xdr:to>
          <xdr:col>2</xdr:col>
          <xdr:colOff>1019175</xdr:colOff>
          <xdr:row>94</xdr:row>
          <xdr:rowOff>38100</xdr:rowOff>
        </xdr:to>
        <xdr:sp macro="" textlink="">
          <xdr:nvSpPr>
            <xdr:cNvPr id="18481" name="cbUseOddFirst" hidden="1">
              <a:extLst>
                <a:ext uri="{63B3BB69-23CF-44E3-9099-C40C66FF867C}">
                  <a14:compatExt spid="_x0000_s18481"/>
                </a:ext>
                <a:ext uri="{FF2B5EF4-FFF2-40B4-BE49-F238E27FC236}">
                  <a16:creationId xmlns:a16="http://schemas.microsoft.com/office/drawing/2014/main" id="{00000000-0008-0000-0100-000031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95</xdr:row>
          <xdr:rowOff>0</xdr:rowOff>
        </xdr:from>
        <xdr:to>
          <xdr:col>2</xdr:col>
          <xdr:colOff>1019175</xdr:colOff>
          <xdr:row>97</xdr:row>
          <xdr:rowOff>38100</xdr:rowOff>
        </xdr:to>
        <xdr:sp macro="" textlink="">
          <xdr:nvSpPr>
            <xdr:cNvPr id="18482" name="cbUseEvenFirst" hidden="1">
              <a:extLst>
                <a:ext uri="{63B3BB69-23CF-44E3-9099-C40C66FF867C}">
                  <a14:compatExt spid="_x0000_s18482"/>
                </a:ext>
                <a:ext uri="{FF2B5EF4-FFF2-40B4-BE49-F238E27FC236}">
                  <a16:creationId xmlns:a16="http://schemas.microsoft.com/office/drawing/2014/main" id="{00000000-0008-0000-0100-000032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100</xdr:row>
          <xdr:rowOff>0</xdr:rowOff>
        </xdr:from>
        <xdr:to>
          <xdr:col>2</xdr:col>
          <xdr:colOff>1019175</xdr:colOff>
          <xdr:row>102</xdr:row>
          <xdr:rowOff>38100</xdr:rowOff>
        </xdr:to>
        <xdr:sp macro="" textlink="">
          <xdr:nvSpPr>
            <xdr:cNvPr id="18483" name="cbUseOddSecond" hidden="1">
              <a:extLst>
                <a:ext uri="{63B3BB69-23CF-44E3-9099-C40C66FF867C}">
                  <a14:compatExt spid="_x0000_s18483"/>
                </a:ext>
                <a:ext uri="{FF2B5EF4-FFF2-40B4-BE49-F238E27FC236}">
                  <a16:creationId xmlns:a16="http://schemas.microsoft.com/office/drawing/2014/main" id="{00000000-0008-0000-0100-000033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102</xdr:row>
          <xdr:rowOff>47625</xdr:rowOff>
        </xdr:from>
        <xdr:to>
          <xdr:col>2</xdr:col>
          <xdr:colOff>1019175</xdr:colOff>
          <xdr:row>105</xdr:row>
          <xdr:rowOff>38100</xdr:rowOff>
        </xdr:to>
        <xdr:sp macro="" textlink="">
          <xdr:nvSpPr>
            <xdr:cNvPr id="18484" name="cbUseEvenSecond" hidden="1">
              <a:extLst>
                <a:ext uri="{63B3BB69-23CF-44E3-9099-C40C66FF867C}">
                  <a14:compatExt spid="_x0000_s18484"/>
                </a:ext>
                <a:ext uri="{FF2B5EF4-FFF2-40B4-BE49-F238E27FC236}">
                  <a16:creationId xmlns:a16="http://schemas.microsoft.com/office/drawing/2014/main" id="{00000000-0008-0000-0100-000034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107</xdr:row>
          <xdr:rowOff>0</xdr:rowOff>
        </xdr:from>
        <xdr:to>
          <xdr:col>7</xdr:col>
          <xdr:colOff>1647825</xdr:colOff>
          <xdr:row>108</xdr:row>
          <xdr:rowOff>85725</xdr:rowOff>
        </xdr:to>
        <xdr:sp macro="" textlink="">
          <xdr:nvSpPr>
            <xdr:cNvPr id="18485" name="cbApplyPageHeaderFormatting" hidden="1">
              <a:extLst>
                <a:ext uri="{63B3BB69-23CF-44E3-9099-C40C66FF867C}">
                  <a14:compatExt spid="_x0000_s18485"/>
                </a:ext>
                <a:ext uri="{FF2B5EF4-FFF2-40B4-BE49-F238E27FC236}">
                  <a16:creationId xmlns:a16="http://schemas.microsoft.com/office/drawing/2014/main" id="{00000000-0008-0000-0100-000035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107</xdr:row>
          <xdr:rowOff>0</xdr:rowOff>
        </xdr:from>
        <xdr:to>
          <xdr:col>2</xdr:col>
          <xdr:colOff>1019175</xdr:colOff>
          <xdr:row>108</xdr:row>
          <xdr:rowOff>142875</xdr:rowOff>
        </xdr:to>
        <xdr:sp macro="" textlink="">
          <xdr:nvSpPr>
            <xdr:cNvPr id="18486" name="cbUseDefaultPageHeaderFormat" hidden="1">
              <a:extLst>
                <a:ext uri="{63B3BB69-23CF-44E3-9099-C40C66FF867C}">
                  <a14:compatExt spid="_x0000_s18486"/>
                </a:ext>
                <a:ext uri="{FF2B5EF4-FFF2-40B4-BE49-F238E27FC236}">
                  <a16:creationId xmlns:a16="http://schemas.microsoft.com/office/drawing/2014/main" id="{00000000-0008-0000-0100-000036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107</xdr:row>
          <xdr:rowOff>0</xdr:rowOff>
        </xdr:from>
        <xdr:to>
          <xdr:col>2</xdr:col>
          <xdr:colOff>1019175</xdr:colOff>
          <xdr:row>108</xdr:row>
          <xdr:rowOff>66675</xdr:rowOff>
        </xdr:to>
        <xdr:sp macro="" textlink="">
          <xdr:nvSpPr>
            <xdr:cNvPr id="18487" name="cbUseDimensionFormatting" hidden="1">
              <a:extLst>
                <a:ext uri="{63B3BB69-23CF-44E3-9099-C40C66FF867C}">
                  <a14:compatExt spid="_x0000_s18487"/>
                </a:ext>
                <a:ext uri="{FF2B5EF4-FFF2-40B4-BE49-F238E27FC236}">
                  <a16:creationId xmlns:a16="http://schemas.microsoft.com/office/drawing/2014/main" id="{00000000-0008-0000-0100-0000374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47625</xdr:rowOff>
        </xdr:from>
        <xdr:to>
          <xdr:col>12</xdr:col>
          <xdr:colOff>676275</xdr:colOff>
          <xdr:row>64</xdr:row>
          <xdr:rowOff>190500</xdr:rowOff>
        </xdr:to>
        <xdr:sp macro="" textlink="">
          <xdr:nvSpPr>
            <xdr:cNvPr id="18561" name="AddedMember2_1" hidden="1">
              <a:extLst>
                <a:ext uri="{63B3BB69-23CF-44E3-9099-C40C66FF867C}">
                  <a14:compatExt spid="_x0000_s18561"/>
                </a:ext>
                <a:ext uri="{FF2B5EF4-FFF2-40B4-BE49-F238E27FC236}">
                  <a16:creationId xmlns:a16="http://schemas.microsoft.com/office/drawing/2014/main" id="{00000000-0008-0000-0100-00008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47625</xdr:rowOff>
        </xdr:from>
        <xdr:to>
          <xdr:col>13</xdr:col>
          <xdr:colOff>695325</xdr:colOff>
          <xdr:row>64</xdr:row>
          <xdr:rowOff>190500</xdr:rowOff>
        </xdr:to>
        <xdr:sp macro="" textlink="">
          <xdr:nvSpPr>
            <xdr:cNvPr id="18562" name="ChangeMember2_1" hidden="1">
              <a:extLst>
                <a:ext uri="{63B3BB69-23CF-44E3-9099-C40C66FF867C}">
                  <a14:compatExt spid="_x0000_s18562"/>
                </a:ext>
                <a:ext uri="{FF2B5EF4-FFF2-40B4-BE49-F238E27FC236}">
                  <a16:creationId xmlns:a16="http://schemas.microsoft.com/office/drawing/2014/main" id="{00000000-0008-0000-0100-00008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47625</xdr:rowOff>
        </xdr:from>
        <xdr:to>
          <xdr:col>14</xdr:col>
          <xdr:colOff>695325</xdr:colOff>
          <xdr:row>64</xdr:row>
          <xdr:rowOff>190500</xdr:rowOff>
        </xdr:to>
        <xdr:sp macro="" textlink="">
          <xdr:nvSpPr>
            <xdr:cNvPr id="18563" name="UpMember2_1" hidden="1">
              <a:extLst>
                <a:ext uri="{63B3BB69-23CF-44E3-9099-C40C66FF867C}">
                  <a14:compatExt spid="_x0000_s18563"/>
                </a:ext>
                <a:ext uri="{FF2B5EF4-FFF2-40B4-BE49-F238E27FC236}">
                  <a16:creationId xmlns:a16="http://schemas.microsoft.com/office/drawing/2014/main" id="{00000000-0008-0000-0100-00008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63</xdr:row>
          <xdr:rowOff>47625</xdr:rowOff>
        </xdr:from>
        <xdr:to>
          <xdr:col>15</xdr:col>
          <xdr:colOff>676275</xdr:colOff>
          <xdr:row>64</xdr:row>
          <xdr:rowOff>190500</xdr:rowOff>
        </xdr:to>
        <xdr:sp macro="" textlink="">
          <xdr:nvSpPr>
            <xdr:cNvPr id="18564" name="DownMember2_1" hidden="1">
              <a:extLst>
                <a:ext uri="{63B3BB69-23CF-44E3-9099-C40C66FF867C}">
                  <a14:compatExt spid="_x0000_s18564"/>
                </a:ext>
                <a:ext uri="{FF2B5EF4-FFF2-40B4-BE49-F238E27FC236}">
                  <a16:creationId xmlns:a16="http://schemas.microsoft.com/office/drawing/2014/main" id="{00000000-0008-0000-0100-00008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13</xdr:col>
          <xdr:colOff>0</xdr:colOff>
          <xdr:row>68</xdr:row>
          <xdr:rowOff>0</xdr:rowOff>
        </xdr:to>
        <xdr:sp macro="" textlink="">
          <xdr:nvSpPr>
            <xdr:cNvPr id="18565" name="AddedMember2_2" hidden="1">
              <a:extLst>
                <a:ext uri="{63B3BB69-23CF-44E3-9099-C40C66FF867C}">
                  <a14:compatExt spid="_x0000_s18565"/>
                </a:ext>
                <a:ext uri="{FF2B5EF4-FFF2-40B4-BE49-F238E27FC236}">
                  <a16:creationId xmlns:a16="http://schemas.microsoft.com/office/drawing/2014/main" id="{00000000-0008-0000-0100-00008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14</xdr:col>
          <xdr:colOff>0</xdr:colOff>
          <xdr:row>68</xdr:row>
          <xdr:rowOff>0</xdr:rowOff>
        </xdr:to>
        <xdr:sp macro="" textlink="">
          <xdr:nvSpPr>
            <xdr:cNvPr id="18566" name="ChangeMember2_2" hidden="1">
              <a:extLst>
                <a:ext uri="{63B3BB69-23CF-44E3-9099-C40C66FF867C}">
                  <a14:compatExt spid="_x0000_s18566"/>
                </a:ext>
                <a:ext uri="{FF2B5EF4-FFF2-40B4-BE49-F238E27FC236}">
                  <a16:creationId xmlns:a16="http://schemas.microsoft.com/office/drawing/2014/main" id="{00000000-0008-0000-0100-00008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15</xdr:col>
          <xdr:colOff>0</xdr:colOff>
          <xdr:row>68</xdr:row>
          <xdr:rowOff>0</xdr:rowOff>
        </xdr:to>
        <xdr:sp macro="" textlink="">
          <xdr:nvSpPr>
            <xdr:cNvPr id="18567" name="UpMember2_2" hidden="1">
              <a:extLst>
                <a:ext uri="{63B3BB69-23CF-44E3-9099-C40C66FF867C}">
                  <a14:compatExt spid="_x0000_s18567"/>
                </a:ext>
                <a:ext uri="{FF2B5EF4-FFF2-40B4-BE49-F238E27FC236}">
                  <a16:creationId xmlns:a16="http://schemas.microsoft.com/office/drawing/2014/main" id="{00000000-0008-0000-0100-00008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8568" name="DownMember2_2" hidden="1">
              <a:extLst>
                <a:ext uri="{63B3BB69-23CF-44E3-9099-C40C66FF867C}">
                  <a14:compatExt spid="_x0000_s18568"/>
                </a:ext>
                <a:ext uri="{FF2B5EF4-FFF2-40B4-BE49-F238E27FC236}">
                  <a16:creationId xmlns:a16="http://schemas.microsoft.com/office/drawing/2014/main" id="{00000000-0008-0000-0100-00008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66675</xdr:rowOff>
        </xdr:from>
        <xdr:to>
          <xdr:col>13</xdr:col>
          <xdr:colOff>0</xdr:colOff>
          <xdr:row>71</xdr:row>
          <xdr:rowOff>0</xdr:rowOff>
        </xdr:to>
        <xdr:sp macro="" textlink="">
          <xdr:nvSpPr>
            <xdr:cNvPr id="18569" name="AddedMember2_3" hidden="1">
              <a:extLst>
                <a:ext uri="{63B3BB69-23CF-44E3-9099-C40C66FF867C}">
                  <a14:compatExt spid="_x0000_s18569"/>
                </a:ext>
                <a:ext uri="{FF2B5EF4-FFF2-40B4-BE49-F238E27FC236}">
                  <a16:creationId xmlns:a16="http://schemas.microsoft.com/office/drawing/2014/main" id="{00000000-0008-0000-0100-00008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66675</xdr:rowOff>
        </xdr:from>
        <xdr:to>
          <xdr:col>14</xdr:col>
          <xdr:colOff>0</xdr:colOff>
          <xdr:row>71</xdr:row>
          <xdr:rowOff>0</xdr:rowOff>
        </xdr:to>
        <xdr:sp macro="" textlink="">
          <xdr:nvSpPr>
            <xdr:cNvPr id="18570" name="ChangeMember2_3" hidden="1">
              <a:extLst>
                <a:ext uri="{63B3BB69-23CF-44E3-9099-C40C66FF867C}">
                  <a14:compatExt spid="_x0000_s18570"/>
                </a:ext>
                <a:ext uri="{FF2B5EF4-FFF2-40B4-BE49-F238E27FC236}">
                  <a16:creationId xmlns:a16="http://schemas.microsoft.com/office/drawing/2014/main" id="{00000000-0008-0000-0100-00008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66675</xdr:rowOff>
        </xdr:from>
        <xdr:to>
          <xdr:col>15</xdr:col>
          <xdr:colOff>0</xdr:colOff>
          <xdr:row>71</xdr:row>
          <xdr:rowOff>0</xdr:rowOff>
        </xdr:to>
        <xdr:sp macro="" textlink="">
          <xdr:nvSpPr>
            <xdr:cNvPr id="18571" name="UpMember2_3" hidden="1">
              <a:extLst>
                <a:ext uri="{63B3BB69-23CF-44E3-9099-C40C66FF867C}">
                  <a14:compatExt spid="_x0000_s18571"/>
                </a:ext>
                <a:ext uri="{FF2B5EF4-FFF2-40B4-BE49-F238E27FC236}">
                  <a16:creationId xmlns:a16="http://schemas.microsoft.com/office/drawing/2014/main" id="{00000000-0008-0000-0100-00008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66675</xdr:rowOff>
        </xdr:from>
        <xdr:to>
          <xdr:col>16</xdr:col>
          <xdr:colOff>0</xdr:colOff>
          <xdr:row>71</xdr:row>
          <xdr:rowOff>0</xdr:rowOff>
        </xdr:to>
        <xdr:sp macro="" textlink="">
          <xdr:nvSpPr>
            <xdr:cNvPr id="18572" name="DownMember2_3" hidden="1">
              <a:extLst>
                <a:ext uri="{63B3BB69-23CF-44E3-9099-C40C66FF867C}">
                  <a14:compatExt spid="_x0000_s18572"/>
                </a:ext>
                <a:ext uri="{FF2B5EF4-FFF2-40B4-BE49-F238E27FC236}">
                  <a16:creationId xmlns:a16="http://schemas.microsoft.com/office/drawing/2014/main" id="{00000000-0008-0000-0100-00008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66675</xdr:rowOff>
        </xdr:from>
        <xdr:to>
          <xdr:col>13</xdr:col>
          <xdr:colOff>0</xdr:colOff>
          <xdr:row>74</xdr:row>
          <xdr:rowOff>0</xdr:rowOff>
        </xdr:to>
        <xdr:sp macro="" textlink="">
          <xdr:nvSpPr>
            <xdr:cNvPr id="18573" name="AddedMember2_4" hidden="1">
              <a:extLst>
                <a:ext uri="{63B3BB69-23CF-44E3-9099-C40C66FF867C}">
                  <a14:compatExt spid="_x0000_s18573"/>
                </a:ext>
                <a:ext uri="{FF2B5EF4-FFF2-40B4-BE49-F238E27FC236}">
                  <a16:creationId xmlns:a16="http://schemas.microsoft.com/office/drawing/2014/main" id="{00000000-0008-0000-0100-00008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66675</xdr:rowOff>
        </xdr:from>
        <xdr:to>
          <xdr:col>14</xdr:col>
          <xdr:colOff>0</xdr:colOff>
          <xdr:row>74</xdr:row>
          <xdr:rowOff>0</xdr:rowOff>
        </xdr:to>
        <xdr:sp macro="" textlink="">
          <xdr:nvSpPr>
            <xdr:cNvPr id="18574" name="ChangeMember2_4" hidden="1">
              <a:extLst>
                <a:ext uri="{63B3BB69-23CF-44E3-9099-C40C66FF867C}">
                  <a14:compatExt spid="_x0000_s18574"/>
                </a:ext>
                <a:ext uri="{FF2B5EF4-FFF2-40B4-BE49-F238E27FC236}">
                  <a16:creationId xmlns:a16="http://schemas.microsoft.com/office/drawing/2014/main" id="{00000000-0008-0000-0100-00008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66675</xdr:rowOff>
        </xdr:from>
        <xdr:to>
          <xdr:col>15</xdr:col>
          <xdr:colOff>0</xdr:colOff>
          <xdr:row>74</xdr:row>
          <xdr:rowOff>0</xdr:rowOff>
        </xdr:to>
        <xdr:sp macro="" textlink="">
          <xdr:nvSpPr>
            <xdr:cNvPr id="18575" name="UpMember2_4" hidden="1">
              <a:extLst>
                <a:ext uri="{63B3BB69-23CF-44E3-9099-C40C66FF867C}">
                  <a14:compatExt spid="_x0000_s18575"/>
                </a:ext>
                <a:ext uri="{FF2B5EF4-FFF2-40B4-BE49-F238E27FC236}">
                  <a16:creationId xmlns:a16="http://schemas.microsoft.com/office/drawing/2014/main" id="{00000000-0008-0000-0100-00008F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66675</xdr:rowOff>
        </xdr:from>
        <xdr:to>
          <xdr:col>16</xdr:col>
          <xdr:colOff>0</xdr:colOff>
          <xdr:row>74</xdr:row>
          <xdr:rowOff>0</xdr:rowOff>
        </xdr:to>
        <xdr:sp macro="" textlink="">
          <xdr:nvSpPr>
            <xdr:cNvPr id="18576" name="DownMember2_4" hidden="1">
              <a:extLst>
                <a:ext uri="{63B3BB69-23CF-44E3-9099-C40C66FF867C}">
                  <a14:compatExt spid="_x0000_s18576"/>
                </a:ext>
                <a:ext uri="{FF2B5EF4-FFF2-40B4-BE49-F238E27FC236}">
                  <a16:creationId xmlns:a16="http://schemas.microsoft.com/office/drawing/2014/main" id="{00000000-0008-0000-0100-000090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13</xdr:col>
          <xdr:colOff>0</xdr:colOff>
          <xdr:row>77</xdr:row>
          <xdr:rowOff>9525</xdr:rowOff>
        </xdr:to>
        <xdr:sp macro="" textlink="">
          <xdr:nvSpPr>
            <xdr:cNvPr id="18577" name="AddedMember2_5" hidden="1">
              <a:extLst>
                <a:ext uri="{63B3BB69-23CF-44E3-9099-C40C66FF867C}">
                  <a14:compatExt spid="_x0000_s18577"/>
                </a:ext>
                <a:ext uri="{FF2B5EF4-FFF2-40B4-BE49-F238E27FC236}">
                  <a16:creationId xmlns:a16="http://schemas.microsoft.com/office/drawing/2014/main" id="{00000000-0008-0000-0100-00009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14</xdr:col>
          <xdr:colOff>0</xdr:colOff>
          <xdr:row>77</xdr:row>
          <xdr:rowOff>9525</xdr:rowOff>
        </xdr:to>
        <xdr:sp macro="" textlink="">
          <xdr:nvSpPr>
            <xdr:cNvPr id="18578" name="ChangeMember2_5" hidden="1">
              <a:extLst>
                <a:ext uri="{63B3BB69-23CF-44E3-9099-C40C66FF867C}">
                  <a14:compatExt spid="_x0000_s18578"/>
                </a:ext>
                <a:ext uri="{FF2B5EF4-FFF2-40B4-BE49-F238E27FC236}">
                  <a16:creationId xmlns:a16="http://schemas.microsoft.com/office/drawing/2014/main" id="{00000000-0008-0000-0100-00009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15</xdr:col>
          <xdr:colOff>0</xdr:colOff>
          <xdr:row>77</xdr:row>
          <xdr:rowOff>9525</xdr:rowOff>
        </xdr:to>
        <xdr:sp macro="" textlink="">
          <xdr:nvSpPr>
            <xdr:cNvPr id="18579" name="UpMember2_5" hidden="1">
              <a:extLst>
                <a:ext uri="{63B3BB69-23CF-44E3-9099-C40C66FF867C}">
                  <a14:compatExt spid="_x0000_s18579"/>
                </a:ext>
                <a:ext uri="{FF2B5EF4-FFF2-40B4-BE49-F238E27FC236}">
                  <a16:creationId xmlns:a16="http://schemas.microsoft.com/office/drawing/2014/main" id="{00000000-0008-0000-0100-00009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9525</xdr:rowOff>
        </xdr:to>
        <xdr:sp macro="" textlink="">
          <xdr:nvSpPr>
            <xdr:cNvPr id="18580" name="DownMember2_5" hidden="1">
              <a:extLst>
                <a:ext uri="{63B3BB69-23CF-44E3-9099-C40C66FF867C}">
                  <a14:compatExt spid="_x0000_s18580"/>
                </a:ext>
                <a:ext uri="{FF2B5EF4-FFF2-40B4-BE49-F238E27FC236}">
                  <a16:creationId xmlns:a16="http://schemas.microsoft.com/office/drawing/2014/main" id="{00000000-0008-0000-0100-00009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13</xdr:col>
          <xdr:colOff>0</xdr:colOff>
          <xdr:row>80</xdr:row>
          <xdr:rowOff>9525</xdr:rowOff>
        </xdr:to>
        <xdr:sp macro="" textlink="">
          <xdr:nvSpPr>
            <xdr:cNvPr id="18581" name="AddedMember2_6" hidden="1">
              <a:extLst>
                <a:ext uri="{63B3BB69-23CF-44E3-9099-C40C66FF867C}">
                  <a14:compatExt spid="_x0000_s18581"/>
                </a:ext>
                <a:ext uri="{FF2B5EF4-FFF2-40B4-BE49-F238E27FC236}">
                  <a16:creationId xmlns:a16="http://schemas.microsoft.com/office/drawing/2014/main" id="{00000000-0008-0000-0100-000095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14</xdr:col>
          <xdr:colOff>0</xdr:colOff>
          <xdr:row>80</xdr:row>
          <xdr:rowOff>9525</xdr:rowOff>
        </xdr:to>
        <xdr:sp macro="" textlink="">
          <xdr:nvSpPr>
            <xdr:cNvPr id="18582" name="ChangeMember2_6" hidden="1">
              <a:extLst>
                <a:ext uri="{63B3BB69-23CF-44E3-9099-C40C66FF867C}">
                  <a14:compatExt spid="_x0000_s18582"/>
                </a:ext>
                <a:ext uri="{FF2B5EF4-FFF2-40B4-BE49-F238E27FC236}">
                  <a16:creationId xmlns:a16="http://schemas.microsoft.com/office/drawing/2014/main" id="{00000000-0008-0000-0100-000096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15</xdr:col>
          <xdr:colOff>0</xdr:colOff>
          <xdr:row>80</xdr:row>
          <xdr:rowOff>9525</xdr:rowOff>
        </xdr:to>
        <xdr:sp macro="" textlink="">
          <xdr:nvSpPr>
            <xdr:cNvPr id="18583" name="UpMember2_6" hidden="1">
              <a:extLst>
                <a:ext uri="{63B3BB69-23CF-44E3-9099-C40C66FF867C}">
                  <a14:compatExt spid="_x0000_s18583"/>
                </a:ext>
                <a:ext uri="{FF2B5EF4-FFF2-40B4-BE49-F238E27FC236}">
                  <a16:creationId xmlns:a16="http://schemas.microsoft.com/office/drawing/2014/main" id="{00000000-0008-0000-0100-000097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9525</xdr:rowOff>
        </xdr:to>
        <xdr:sp macro="" textlink="">
          <xdr:nvSpPr>
            <xdr:cNvPr id="18584" name="DownMember2_6" hidden="1">
              <a:extLst>
                <a:ext uri="{63B3BB69-23CF-44E3-9099-C40C66FF867C}">
                  <a14:compatExt spid="_x0000_s18584"/>
                </a:ext>
                <a:ext uri="{FF2B5EF4-FFF2-40B4-BE49-F238E27FC236}">
                  <a16:creationId xmlns:a16="http://schemas.microsoft.com/office/drawing/2014/main" id="{00000000-0008-0000-0100-000098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13</xdr:col>
          <xdr:colOff>0</xdr:colOff>
          <xdr:row>83</xdr:row>
          <xdr:rowOff>0</xdr:rowOff>
        </xdr:to>
        <xdr:sp macro="" textlink="">
          <xdr:nvSpPr>
            <xdr:cNvPr id="18585" name="AddedMember2_7" hidden="1">
              <a:extLst>
                <a:ext uri="{63B3BB69-23CF-44E3-9099-C40C66FF867C}">
                  <a14:compatExt spid="_x0000_s18585"/>
                </a:ext>
                <a:ext uri="{FF2B5EF4-FFF2-40B4-BE49-F238E27FC236}">
                  <a16:creationId xmlns:a16="http://schemas.microsoft.com/office/drawing/2014/main" id="{00000000-0008-0000-0100-000099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14</xdr:col>
          <xdr:colOff>0</xdr:colOff>
          <xdr:row>83</xdr:row>
          <xdr:rowOff>0</xdr:rowOff>
        </xdr:to>
        <xdr:sp macro="" textlink="">
          <xdr:nvSpPr>
            <xdr:cNvPr id="18586" name="ChangeMember2_7" hidden="1">
              <a:extLst>
                <a:ext uri="{63B3BB69-23CF-44E3-9099-C40C66FF867C}">
                  <a14:compatExt spid="_x0000_s18586"/>
                </a:ext>
                <a:ext uri="{FF2B5EF4-FFF2-40B4-BE49-F238E27FC236}">
                  <a16:creationId xmlns:a16="http://schemas.microsoft.com/office/drawing/2014/main" id="{00000000-0008-0000-0100-00009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15</xdr:col>
          <xdr:colOff>0</xdr:colOff>
          <xdr:row>83</xdr:row>
          <xdr:rowOff>0</xdr:rowOff>
        </xdr:to>
        <xdr:sp macro="" textlink="">
          <xdr:nvSpPr>
            <xdr:cNvPr id="18587" name="UpMember2_7" hidden="1">
              <a:extLst>
                <a:ext uri="{63B3BB69-23CF-44E3-9099-C40C66FF867C}">
                  <a14:compatExt spid="_x0000_s18587"/>
                </a:ext>
                <a:ext uri="{FF2B5EF4-FFF2-40B4-BE49-F238E27FC236}">
                  <a16:creationId xmlns:a16="http://schemas.microsoft.com/office/drawing/2014/main" id="{00000000-0008-0000-0100-00009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18588" name="DownMember2_7" hidden="1">
              <a:extLst>
                <a:ext uri="{63B3BB69-23CF-44E3-9099-C40C66FF867C}">
                  <a14:compatExt spid="_x0000_s18588"/>
                </a:ext>
                <a:ext uri="{FF2B5EF4-FFF2-40B4-BE49-F238E27FC236}">
                  <a16:creationId xmlns:a16="http://schemas.microsoft.com/office/drawing/2014/main" id="{00000000-0008-0000-0100-00009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66675</xdr:rowOff>
        </xdr:from>
        <xdr:to>
          <xdr:col>13</xdr:col>
          <xdr:colOff>0</xdr:colOff>
          <xdr:row>41</xdr:row>
          <xdr:rowOff>0</xdr:rowOff>
        </xdr:to>
        <xdr:sp macro="" textlink="">
          <xdr:nvSpPr>
            <xdr:cNvPr id="18609" name="AddedMember1_1" hidden="1">
              <a:extLst>
                <a:ext uri="{63B3BB69-23CF-44E3-9099-C40C66FF867C}">
                  <a14:compatExt spid="_x0000_s18609"/>
                </a:ext>
                <a:ext uri="{FF2B5EF4-FFF2-40B4-BE49-F238E27FC236}">
                  <a16:creationId xmlns:a16="http://schemas.microsoft.com/office/drawing/2014/main" id="{00000000-0008-0000-0100-0000B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66675</xdr:rowOff>
        </xdr:from>
        <xdr:to>
          <xdr:col>14</xdr:col>
          <xdr:colOff>0</xdr:colOff>
          <xdr:row>41</xdr:row>
          <xdr:rowOff>0</xdr:rowOff>
        </xdr:to>
        <xdr:sp macro="" textlink="">
          <xdr:nvSpPr>
            <xdr:cNvPr id="18610" name="ChangeMember1_1" hidden="1">
              <a:extLst>
                <a:ext uri="{63B3BB69-23CF-44E3-9099-C40C66FF867C}">
                  <a14:compatExt spid="_x0000_s18610"/>
                </a:ext>
                <a:ext uri="{FF2B5EF4-FFF2-40B4-BE49-F238E27FC236}">
                  <a16:creationId xmlns:a16="http://schemas.microsoft.com/office/drawing/2014/main" id="{00000000-0008-0000-0100-0000B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66675</xdr:rowOff>
        </xdr:from>
        <xdr:to>
          <xdr:col>15</xdr:col>
          <xdr:colOff>0</xdr:colOff>
          <xdr:row>41</xdr:row>
          <xdr:rowOff>0</xdr:rowOff>
        </xdr:to>
        <xdr:sp macro="" textlink="">
          <xdr:nvSpPr>
            <xdr:cNvPr id="18611" name="UpMember1_1" hidden="1">
              <a:extLst>
                <a:ext uri="{63B3BB69-23CF-44E3-9099-C40C66FF867C}">
                  <a14:compatExt spid="_x0000_s18611"/>
                </a:ext>
                <a:ext uri="{FF2B5EF4-FFF2-40B4-BE49-F238E27FC236}">
                  <a16:creationId xmlns:a16="http://schemas.microsoft.com/office/drawing/2014/main" id="{00000000-0008-0000-0100-0000B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66675</xdr:rowOff>
        </xdr:from>
        <xdr:to>
          <xdr:col>16</xdr:col>
          <xdr:colOff>0</xdr:colOff>
          <xdr:row>41</xdr:row>
          <xdr:rowOff>0</xdr:rowOff>
        </xdr:to>
        <xdr:sp macro="" textlink="">
          <xdr:nvSpPr>
            <xdr:cNvPr id="18612" name="DownMember1_1" hidden="1">
              <a:extLst>
                <a:ext uri="{63B3BB69-23CF-44E3-9099-C40C66FF867C}">
                  <a14:compatExt spid="_x0000_s18612"/>
                </a:ext>
                <a:ext uri="{FF2B5EF4-FFF2-40B4-BE49-F238E27FC236}">
                  <a16:creationId xmlns:a16="http://schemas.microsoft.com/office/drawing/2014/main" id="{00000000-0008-0000-0100-0000B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43</xdr:row>
          <xdr:rowOff>0</xdr:rowOff>
        </xdr:from>
        <xdr:to>
          <xdr:col>12</xdr:col>
          <xdr:colOff>676275</xdr:colOff>
          <xdr:row>44</xdr:row>
          <xdr:rowOff>0</xdr:rowOff>
        </xdr:to>
        <xdr:sp macro="" textlink="">
          <xdr:nvSpPr>
            <xdr:cNvPr id="18650" name="AddedMember1_2" hidden="1">
              <a:extLst>
                <a:ext uri="{63B3BB69-23CF-44E3-9099-C40C66FF867C}">
                  <a14:compatExt spid="_x0000_s18650"/>
                </a:ext>
                <a:ext uri="{FF2B5EF4-FFF2-40B4-BE49-F238E27FC236}">
                  <a16:creationId xmlns:a16="http://schemas.microsoft.com/office/drawing/2014/main" id="{00000000-0008-0000-0100-0000DA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43</xdr:row>
          <xdr:rowOff>0</xdr:rowOff>
        </xdr:from>
        <xdr:to>
          <xdr:col>13</xdr:col>
          <xdr:colOff>685800</xdr:colOff>
          <xdr:row>44</xdr:row>
          <xdr:rowOff>0</xdr:rowOff>
        </xdr:to>
        <xdr:sp macro="" textlink="">
          <xdr:nvSpPr>
            <xdr:cNvPr id="18651" name="ChangeMember1_2" hidden="1">
              <a:extLst>
                <a:ext uri="{63B3BB69-23CF-44E3-9099-C40C66FF867C}">
                  <a14:compatExt spid="_x0000_s18651"/>
                </a:ext>
                <a:ext uri="{FF2B5EF4-FFF2-40B4-BE49-F238E27FC236}">
                  <a16:creationId xmlns:a16="http://schemas.microsoft.com/office/drawing/2014/main" id="{00000000-0008-0000-0100-0000DB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685800</xdr:colOff>
          <xdr:row>44</xdr:row>
          <xdr:rowOff>0</xdr:rowOff>
        </xdr:to>
        <xdr:sp macro="" textlink="">
          <xdr:nvSpPr>
            <xdr:cNvPr id="18652" name="UpMember1_2" hidden="1">
              <a:extLst>
                <a:ext uri="{63B3BB69-23CF-44E3-9099-C40C66FF867C}">
                  <a14:compatExt spid="_x0000_s18652"/>
                </a:ext>
                <a:ext uri="{FF2B5EF4-FFF2-40B4-BE49-F238E27FC236}">
                  <a16:creationId xmlns:a16="http://schemas.microsoft.com/office/drawing/2014/main" id="{00000000-0008-0000-0100-0000DC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714375</xdr:colOff>
          <xdr:row>43</xdr:row>
          <xdr:rowOff>0</xdr:rowOff>
        </xdr:from>
        <xdr:to>
          <xdr:col>15</xdr:col>
          <xdr:colOff>676275</xdr:colOff>
          <xdr:row>44</xdr:row>
          <xdr:rowOff>0</xdr:rowOff>
        </xdr:to>
        <xdr:sp macro="" textlink="">
          <xdr:nvSpPr>
            <xdr:cNvPr id="18653" name="DownMember1_2" hidden="1">
              <a:extLst>
                <a:ext uri="{63B3BB69-23CF-44E3-9099-C40C66FF867C}">
                  <a14:compatExt spid="_x0000_s18653"/>
                </a:ext>
                <a:ext uri="{FF2B5EF4-FFF2-40B4-BE49-F238E27FC236}">
                  <a16:creationId xmlns:a16="http://schemas.microsoft.com/office/drawing/2014/main" id="{00000000-0008-0000-0100-0000D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9012</xdr:colOff>
      <xdr:row>0</xdr:row>
      <xdr:rowOff>205741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28575</xdr:rowOff>
        </xdr:from>
        <xdr:to>
          <xdr:col>2</xdr:col>
          <xdr:colOff>76200</xdr:colOff>
          <xdr:row>3</xdr:row>
          <xdr:rowOff>257175</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3</xdr:row>
          <xdr:rowOff>38100</xdr:rowOff>
        </xdr:from>
        <xdr:to>
          <xdr:col>6</xdr:col>
          <xdr:colOff>381000</xdr:colOff>
          <xdr:row>3</xdr:row>
          <xdr:rowOff>266700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514350</xdr:rowOff>
        </xdr:from>
        <xdr:to>
          <xdr:col>2</xdr:col>
          <xdr:colOff>76200</xdr:colOff>
          <xdr:row>3</xdr:row>
          <xdr:rowOff>742950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3</xdr:row>
          <xdr:rowOff>514350</xdr:rowOff>
        </xdr:from>
        <xdr:to>
          <xdr:col>5</xdr:col>
          <xdr:colOff>47625</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85725</xdr:colOff>
          <xdr:row>3</xdr:row>
          <xdr:rowOff>552450</xdr:rowOff>
        </xdr:from>
        <xdr:to>
          <xdr:col>6</xdr:col>
          <xdr:colOff>628650</xdr:colOff>
          <xdr:row>3</xdr:row>
          <xdr:rowOff>714375</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381000</xdr:colOff>
          <xdr:row>3</xdr:row>
          <xdr:rowOff>514350</xdr:rowOff>
        </xdr:from>
        <xdr:to>
          <xdr:col>7</xdr:col>
          <xdr:colOff>609600</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638175</xdr:colOff>
          <xdr:row>3</xdr:row>
          <xdr:rowOff>514350</xdr:rowOff>
        </xdr:from>
        <xdr:to>
          <xdr:col>8</xdr:col>
          <xdr:colOff>152400</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190500</xdr:colOff>
          <xdr:row>3</xdr:row>
          <xdr:rowOff>552450</xdr:rowOff>
        </xdr:from>
        <xdr:to>
          <xdr:col>9</xdr:col>
          <xdr:colOff>38100</xdr:colOff>
          <xdr:row>3</xdr:row>
          <xdr:rowOff>714375</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2</xdr:col>
          <xdr:colOff>76200</xdr:colOff>
          <xdr:row>2</xdr:row>
          <xdr:rowOff>257175</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2</xdr:col>
          <xdr:colOff>76200</xdr:colOff>
          <xdr:row>2</xdr:row>
          <xdr:rowOff>285750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18094</xdr:colOff>
      <xdr:row>3</xdr:row>
      <xdr:rowOff>0</xdr:rowOff>
    </xdr:from>
    <xdr:to>
      <xdr:col>114</xdr:col>
      <xdr:colOff>69328</xdr:colOff>
      <xdr:row>4</xdr:row>
      <xdr:rowOff>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771525</xdr:rowOff>
        </xdr:from>
        <xdr:to>
          <xdr:col>7</xdr:col>
          <xdr:colOff>0</xdr:colOff>
          <xdr:row>3</xdr:row>
          <xdr:rowOff>1685925</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381000</xdr:colOff>
          <xdr:row>3</xdr:row>
          <xdr:rowOff>771525</xdr:rowOff>
        </xdr:from>
        <xdr:to>
          <xdr:col>8</xdr:col>
          <xdr:colOff>552450</xdr:colOff>
          <xdr:row>3</xdr:row>
          <xdr:rowOff>1228725</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342900</xdr:colOff>
          <xdr:row>3</xdr:row>
          <xdr:rowOff>28575</xdr:rowOff>
        </xdr:from>
        <xdr:to>
          <xdr:col>9</xdr:col>
          <xdr:colOff>247650</xdr:colOff>
          <xdr:row>3</xdr:row>
          <xdr:rowOff>295275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3</xdr:row>
          <xdr:rowOff>28575</xdr:rowOff>
        </xdr:from>
        <xdr:to>
          <xdr:col>8</xdr:col>
          <xdr:colOff>342900</xdr:colOff>
          <xdr:row>3</xdr:row>
          <xdr:rowOff>295275</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3</xdr:row>
          <xdr:rowOff>219075</xdr:rowOff>
        </xdr:from>
        <xdr:to>
          <xdr:col>8</xdr:col>
          <xdr:colOff>342900</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342900</xdr:colOff>
      <xdr:row>3</xdr:row>
      <xdr:rowOff>257175</xdr:rowOff>
    </xdr:from>
    <xdr:to>
      <xdr:col>8</xdr:col>
      <xdr:colOff>491490</xdr:colOff>
      <xdr:row>3</xdr:row>
      <xdr:rowOff>413385</xdr:rowOff>
    </xdr:to>
    <xdr:pic>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05050" y="1285875"/>
          <a:ext cx="148590" cy="15621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152400</xdr:colOff>
          <xdr:row>0</xdr:row>
          <xdr:rowOff>0</xdr:rowOff>
        </xdr:to>
        <xdr:sp macro="" textlink="">
          <xdr:nvSpPr>
            <xdr:cNvPr id="3133" name="AnalyzerDynReport000tb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152400</xdr:colOff>
          <xdr:row>0</xdr:row>
          <xdr:rowOff>0</xdr:rowOff>
        </xdr:to>
        <xdr:sp macro="" textlink="">
          <xdr:nvSpPr>
            <xdr:cNvPr id="3134" name="ConnectionDescriptorsInfotb1"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152400</xdr:colOff>
          <xdr:row>0</xdr:row>
          <xdr:rowOff>0</xdr:rowOff>
        </xdr:to>
        <xdr:sp macro="" textlink="">
          <xdr:nvSpPr>
            <xdr:cNvPr id="3135" name="MultipleReportManagerInfotb1"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152400</xdr:colOff>
          <xdr:row>0</xdr:row>
          <xdr:rowOff>0</xdr:rowOff>
        </xdr:to>
        <xdr:sp macro="" textlink="">
          <xdr:nvSpPr>
            <xdr:cNvPr id="3136" name="ReportSubmitManagerControltb1"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6</xdr:col>
          <xdr:colOff>152400</xdr:colOff>
          <xdr:row>0</xdr:row>
          <xdr:rowOff>0</xdr:rowOff>
        </xdr:to>
        <xdr:sp macro="" textlink="">
          <xdr:nvSpPr>
            <xdr:cNvPr id="3137" name="ReportSubmitControl_1tb1"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6</xdr:col>
      <xdr:colOff>484188</xdr:colOff>
      <xdr:row>6</xdr:row>
      <xdr:rowOff>38101</xdr:rowOff>
    </xdr:from>
    <xdr:to>
      <xdr:col>13</xdr:col>
      <xdr:colOff>284164</xdr:colOff>
      <xdr:row>20</xdr:row>
      <xdr:rowOff>53975</xdr:rowOff>
    </xdr:to>
    <xdr:sp macro="" textlink="">
      <xdr:nvSpPr>
        <xdr:cNvPr id="27" name="TextBox 26">
          <a:extLst>
            <a:ext uri="{FF2B5EF4-FFF2-40B4-BE49-F238E27FC236}">
              <a16:creationId xmlns:a16="http://schemas.microsoft.com/office/drawing/2014/main" id="{00000000-0008-0000-0200-00001B000000}"/>
            </a:ext>
          </a:extLst>
        </xdr:cNvPr>
        <xdr:cNvSpPr txBox="1"/>
      </xdr:nvSpPr>
      <xdr:spPr>
        <a:xfrm>
          <a:off x="1055688" y="3571876"/>
          <a:ext cx="5762626" cy="2682874"/>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Disclaimer</a:t>
          </a:r>
        </a:p>
        <a:p>
          <a:r>
            <a:rPr lang="en-US" sz="1100">
              <a:solidFill>
                <a:schemeClr val="dk1"/>
              </a:solidFill>
              <a:effectLst/>
              <a:latin typeface="+mn-lt"/>
              <a:ea typeface="+mn-ea"/>
              <a:cs typeface="+mn-cs"/>
            </a:rPr>
            <a:t>This planning view is meant to be an example and a starting point for your project. Please be aware that it needs to be adjusted to individual customer requirements.</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All restrictions mentioned in note 1790530 also apply to the Sample Planning View Templates delivered with this solution. </a:t>
          </a:r>
        </a:p>
        <a:p>
          <a:endParaRPr lang="de-DE" sz="1100">
            <a:solidFill>
              <a:schemeClr val="dk1"/>
            </a:solidFill>
            <a:effectLst/>
            <a:latin typeface="+mn-lt"/>
            <a:ea typeface="+mn-ea"/>
            <a:cs typeface="+mn-cs"/>
          </a:endParaRPr>
        </a:p>
        <a:p>
          <a:r>
            <a:rPr lang="de-DE" sz="1100" b="1">
              <a:solidFill>
                <a:schemeClr val="dk1"/>
              </a:solidFill>
              <a:effectLst/>
              <a:latin typeface="+mn-lt"/>
              <a:ea typeface="+mn-ea"/>
              <a:cs typeface="+mn-cs"/>
            </a:rPr>
            <a:t>Important</a:t>
          </a:r>
          <a:r>
            <a:rPr lang="de-DE" sz="1100">
              <a:solidFill>
                <a:schemeClr val="dk1"/>
              </a:solidFill>
              <a:effectLst/>
              <a:latin typeface="+mn-lt"/>
              <a:ea typeface="+mn-ea"/>
              <a:cs typeface="+mn-cs"/>
            </a:rPr>
            <a:t>: For performance reasons, appropriate data filters need to be defined for each planning view to meet the general recommendation of displaying a maximum of 2000 records. This is customer-specific and not part of the SAP Best Practices implementation. If from a business point of view more records are required, do not use the sample Planning Views, but develop own Planning Views using less formatting, validations, or local members.</a:t>
          </a:r>
        </a:p>
        <a:p>
          <a:endParaRPr lang="de-DE" sz="1100">
            <a:solidFill>
              <a:schemeClr val="dk1"/>
            </a:solidFill>
            <a:effectLst/>
            <a:latin typeface="+mn-lt"/>
            <a:ea typeface="+mn-ea"/>
            <a:cs typeface="+mn-cs"/>
          </a:endParaRPr>
        </a:p>
        <a:p>
          <a:r>
            <a:rPr lang="de-DE" sz="1100"/>
            <a:t>Please delete</a:t>
          </a:r>
          <a:r>
            <a:rPr lang="de-DE" sz="1100" baseline="0"/>
            <a:t> this text box before using this Planning View.</a:t>
          </a:r>
          <a:endParaRPr lang="de-DE" sz="1100"/>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333375</xdr:colOff>
          <xdr:row>0</xdr:row>
          <xdr:rowOff>0</xdr:rowOff>
        </xdr:to>
        <xdr:sp macro="" textlink="">
          <xdr:nvSpPr>
            <xdr:cNvPr id="3138" name="MultipleReportManagerInfoHCtb1"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333375</xdr:colOff>
          <xdr:row>0</xdr:row>
          <xdr:rowOff>0</xdr:rowOff>
        </xdr:to>
        <xdr:sp macro="" textlink="">
          <xdr:nvSpPr>
            <xdr:cNvPr id="3139" name="MultipleReportManagerInfoDCtb1"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333375</xdr:colOff>
          <xdr:row>0</xdr:row>
          <xdr:rowOff>0</xdr:rowOff>
        </xdr:to>
        <xdr:sp macro="" textlink="">
          <xdr:nvSpPr>
            <xdr:cNvPr id="3140" name="ConnectionDescriptorsInfoHCtb1"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333375</xdr:colOff>
          <xdr:row>0</xdr:row>
          <xdr:rowOff>0</xdr:rowOff>
        </xdr:to>
        <xdr:sp macro="" textlink="">
          <xdr:nvSpPr>
            <xdr:cNvPr id="3141" name="ConnectionDescriptorsInfoDCtb1"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142" name="ReportSubmitManagerControlHCtb1"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143" name="ReportSubmitManagerControlDCtb1" hidden="1">
              <a:extLst>
                <a:ext uri="{63B3BB69-23CF-44E3-9099-C40C66FF867C}">
                  <a14:compatExt spid="_x0000_s3143"/>
                </a:ext>
                <a:ext uri="{FF2B5EF4-FFF2-40B4-BE49-F238E27FC236}">
                  <a16:creationId xmlns:a16="http://schemas.microsoft.com/office/drawing/2014/main" id="{00000000-0008-0000-0200-000047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144" name="ReportSubmitControl_1HCtb1" hidden="1">
              <a:extLst>
                <a:ext uri="{63B3BB69-23CF-44E3-9099-C40C66FF867C}">
                  <a14:compatExt spid="_x0000_s3144"/>
                </a:ext>
                <a:ext uri="{FF2B5EF4-FFF2-40B4-BE49-F238E27FC236}">
                  <a16:creationId xmlns:a16="http://schemas.microsoft.com/office/drawing/2014/main" id="{00000000-0008-0000-0200-000048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145" name="ReportSubmitControl_1DCtb1" hidden="1">
              <a:extLst>
                <a:ext uri="{63B3BB69-23CF-44E3-9099-C40C66FF867C}">
                  <a14:compatExt spid="_x0000_s3145"/>
                </a:ext>
                <a:ext uri="{FF2B5EF4-FFF2-40B4-BE49-F238E27FC236}">
                  <a16:creationId xmlns:a16="http://schemas.microsoft.com/office/drawing/2014/main" id="{00000000-0008-0000-0200-000049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146" name="AnalyzerDynReportHC000tb1"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342900</xdr:colOff>
          <xdr:row>0</xdr:row>
          <xdr:rowOff>0</xdr:rowOff>
        </xdr:to>
        <xdr:sp macro="" textlink="">
          <xdr:nvSpPr>
            <xdr:cNvPr id="3147" name="AnalyzerDynReportDC000tb1"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5</xdr:col>
      <xdr:colOff>66162</xdr:colOff>
      <xdr:row>0</xdr:row>
      <xdr:rowOff>205741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5241" y="15241"/>
          <a:ext cx="489071" cy="19431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0481" name="FPMExcelClientSheetOptionstb1" hidden="1">
              <a:extLst>
                <a:ext uri="{63B3BB69-23CF-44E3-9099-C40C66FF867C}">
                  <a14:compatExt spid="_x0000_s20481"/>
                </a:ext>
                <a:ext uri="{FF2B5EF4-FFF2-40B4-BE49-F238E27FC236}">
                  <a16:creationId xmlns:a16="http://schemas.microsoft.com/office/drawing/2014/main" id="{00000000-0008-0000-0300-000001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28575</xdr:rowOff>
        </xdr:from>
        <xdr:to>
          <xdr:col>2</xdr:col>
          <xdr:colOff>76200</xdr:colOff>
          <xdr:row>3</xdr:row>
          <xdr:rowOff>257175</xdr:rowOff>
        </xdr:to>
        <xdr:sp macro="" textlink="">
          <xdr:nvSpPr>
            <xdr:cNvPr id="20482" name="CommandButton1" descr="Refresh Chart" hidden="1">
              <a:extLst>
                <a:ext uri="{63B3BB69-23CF-44E3-9099-C40C66FF867C}">
                  <a14:compatExt spid="_x0000_s20482"/>
                </a:ext>
                <a:ext uri="{FF2B5EF4-FFF2-40B4-BE49-F238E27FC236}">
                  <a16:creationId xmlns:a16="http://schemas.microsoft.com/office/drawing/2014/main" id="{00000000-0008-0000-03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28575</xdr:colOff>
          <xdr:row>3</xdr:row>
          <xdr:rowOff>38100</xdr:rowOff>
        </xdr:from>
        <xdr:to>
          <xdr:col>6</xdr:col>
          <xdr:colOff>381000</xdr:colOff>
          <xdr:row>3</xdr:row>
          <xdr:rowOff>266700</xdr:rowOff>
        </xdr:to>
        <xdr:sp macro="" textlink="">
          <xdr:nvSpPr>
            <xdr:cNvPr id="20483" name="Label1" hidden="1">
              <a:extLst>
                <a:ext uri="{63B3BB69-23CF-44E3-9099-C40C66FF867C}">
                  <a14:compatExt spid="_x0000_s20483"/>
                </a:ext>
                <a:ext uri="{FF2B5EF4-FFF2-40B4-BE49-F238E27FC236}">
                  <a16:creationId xmlns:a16="http://schemas.microsoft.com/office/drawing/2014/main" id="{00000000-0008-0000-03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514350</xdr:rowOff>
        </xdr:from>
        <xdr:to>
          <xdr:col>2</xdr:col>
          <xdr:colOff>76200</xdr:colOff>
          <xdr:row>3</xdr:row>
          <xdr:rowOff>742950</xdr:rowOff>
        </xdr:to>
        <xdr:sp macro="" textlink="">
          <xdr:nvSpPr>
            <xdr:cNvPr id="20484" name="CommandButton2" hidden="1">
              <a:extLst>
                <a:ext uri="{63B3BB69-23CF-44E3-9099-C40C66FF867C}">
                  <a14:compatExt spid="_x0000_s20484"/>
                </a:ext>
                <a:ext uri="{FF2B5EF4-FFF2-40B4-BE49-F238E27FC236}">
                  <a16:creationId xmlns:a16="http://schemas.microsoft.com/office/drawing/2014/main" id="{00000000-0008-0000-03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9525</xdr:colOff>
          <xdr:row>3</xdr:row>
          <xdr:rowOff>514350</xdr:rowOff>
        </xdr:from>
        <xdr:to>
          <xdr:col>5</xdr:col>
          <xdr:colOff>47625</xdr:colOff>
          <xdr:row>3</xdr:row>
          <xdr:rowOff>742950</xdr:rowOff>
        </xdr:to>
        <xdr:sp macro="" textlink="">
          <xdr:nvSpPr>
            <xdr:cNvPr id="20485" name="CommandButton3" hidden="1">
              <a:extLst>
                <a:ext uri="{63B3BB69-23CF-44E3-9099-C40C66FF867C}">
                  <a14:compatExt spid="_x0000_s20485"/>
                </a:ext>
                <a:ext uri="{FF2B5EF4-FFF2-40B4-BE49-F238E27FC236}">
                  <a16:creationId xmlns:a16="http://schemas.microsoft.com/office/drawing/2014/main" id="{00000000-0008-0000-03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85725</xdr:colOff>
          <xdr:row>3</xdr:row>
          <xdr:rowOff>552450</xdr:rowOff>
        </xdr:from>
        <xdr:to>
          <xdr:col>6</xdr:col>
          <xdr:colOff>628650</xdr:colOff>
          <xdr:row>3</xdr:row>
          <xdr:rowOff>714375</xdr:rowOff>
        </xdr:to>
        <xdr:sp macro="" textlink="">
          <xdr:nvSpPr>
            <xdr:cNvPr id="20486" name="Label2" hidden="1">
              <a:extLst>
                <a:ext uri="{63B3BB69-23CF-44E3-9099-C40C66FF867C}">
                  <a14:compatExt spid="_x0000_s20486"/>
                </a:ext>
                <a:ext uri="{FF2B5EF4-FFF2-40B4-BE49-F238E27FC236}">
                  <a16:creationId xmlns:a16="http://schemas.microsoft.com/office/drawing/2014/main" id="{00000000-0008-0000-03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590550</xdr:colOff>
          <xdr:row>3</xdr:row>
          <xdr:rowOff>514350</xdr:rowOff>
        </xdr:from>
        <xdr:to>
          <xdr:col>9</xdr:col>
          <xdr:colOff>28575</xdr:colOff>
          <xdr:row>3</xdr:row>
          <xdr:rowOff>742950</xdr:rowOff>
        </xdr:to>
        <xdr:sp macro="" textlink="">
          <xdr:nvSpPr>
            <xdr:cNvPr id="20487" name="CommandButton4" hidden="1">
              <a:extLst>
                <a:ext uri="{63B3BB69-23CF-44E3-9099-C40C66FF867C}">
                  <a14:compatExt spid="_x0000_s20487"/>
                </a:ext>
                <a:ext uri="{FF2B5EF4-FFF2-40B4-BE49-F238E27FC236}">
                  <a16:creationId xmlns:a16="http://schemas.microsoft.com/office/drawing/2014/main" id="{00000000-0008-0000-03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3</xdr:row>
          <xdr:rowOff>514350</xdr:rowOff>
        </xdr:from>
        <xdr:to>
          <xdr:col>9</xdr:col>
          <xdr:colOff>285750</xdr:colOff>
          <xdr:row>3</xdr:row>
          <xdr:rowOff>742950</xdr:rowOff>
        </xdr:to>
        <xdr:sp macro="" textlink="">
          <xdr:nvSpPr>
            <xdr:cNvPr id="20488" name="CommandButton5" hidden="1">
              <a:extLst>
                <a:ext uri="{63B3BB69-23CF-44E3-9099-C40C66FF867C}">
                  <a14:compatExt spid="_x0000_s20488"/>
                </a:ext>
                <a:ext uri="{FF2B5EF4-FFF2-40B4-BE49-F238E27FC236}">
                  <a16:creationId xmlns:a16="http://schemas.microsoft.com/office/drawing/2014/main" id="{00000000-0008-0000-03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323850</xdr:colOff>
          <xdr:row>3</xdr:row>
          <xdr:rowOff>552450</xdr:rowOff>
        </xdr:from>
        <xdr:to>
          <xdr:col>9</xdr:col>
          <xdr:colOff>962025</xdr:colOff>
          <xdr:row>3</xdr:row>
          <xdr:rowOff>714375</xdr:rowOff>
        </xdr:to>
        <xdr:sp macro="" textlink="">
          <xdr:nvSpPr>
            <xdr:cNvPr id="20489" name="Label3" hidden="1">
              <a:extLst>
                <a:ext uri="{63B3BB69-23CF-44E3-9099-C40C66FF867C}">
                  <a14:compatExt spid="_x0000_s20489"/>
                </a:ext>
                <a:ext uri="{FF2B5EF4-FFF2-40B4-BE49-F238E27FC236}">
                  <a16:creationId xmlns:a16="http://schemas.microsoft.com/office/drawing/2014/main" id="{00000000-0008-0000-0300-000009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66675</xdr:rowOff>
        </xdr:from>
        <xdr:to>
          <xdr:col>2</xdr:col>
          <xdr:colOff>76200</xdr:colOff>
          <xdr:row>2</xdr:row>
          <xdr:rowOff>238125</xdr:rowOff>
        </xdr:to>
        <xdr:sp macro="" textlink="">
          <xdr:nvSpPr>
            <xdr:cNvPr id="20490" name="CommandButton7" hidden="1">
              <a:extLst>
                <a:ext uri="{63B3BB69-23CF-44E3-9099-C40C66FF867C}">
                  <a14:compatExt spid="_x0000_s20490"/>
                </a:ext>
                <a:ext uri="{FF2B5EF4-FFF2-40B4-BE49-F238E27FC236}">
                  <a16:creationId xmlns:a16="http://schemas.microsoft.com/office/drawing/2014/main" id="{00000000-0008-0000-0300-00000A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66675</xdr:rowOff>
        </xdr:from>
        <xdr:to>
          <xdr:col>2</xdr:col>
          <xdr:colOff>76200</xdr:colOff>
          <xdr:row>2</xdr:row>
          <xdr:rowOff>295275</xdr:rowOff>
        </xdr:to>
        <xdr:sp macro="" textlink="">
          <xdr:nvSpPr>
            <xdr:cNvPr id="20491" name="CommandButton6" hidden="1">
              <a:extLst>
                <a:ext uri="{63B3BB69-23CF-44E3-9099-C40C66FF867C}">
                  <a14:compatExt spid="_x0000_s20491"/>
                </a:ext>
                <a:ext uri="{FF2B5EF4-FFF2-40B4-BE49-F238E27FC236}">
                  <a16:creationId xmlns:a16="http://schemas.microsoft.com/office/drawing/2014/main" id="{00000000-0008-0000-0300-00000B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18095</xdr:colOff>
      <xdr:row>3</xdr:row>
      <xdr:rowOff>0</xdr:rowOff>
    </xdr:from>
    <xdr:to>
      <xdr:col>114</xdr:col>
      <xdr:colOff>100620</xdr:colOff>
      <xdr:row>4</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771525</xdr:rowOff>
        </xdr:from>
        <xdr:to>
          <xdr:col>8</xdr:col>
          <xdr:colOff>209550</xdr:colOff>
          <xdr:row>3</xdr:row>
          <xdr:rowOff>1943100</xdr:rowOff>
        </xdr:to>
        <xdr:sp macro="" textlink="">
          <xdr:nvSpPr>
            <xdr:cNvPr id="20492" name="ListBox1" hidden="1">
              <a:extLst>
                <a:ext uri="{63B3BB69-23CF-44E3-9099-C40C66FF867C}">
                  <a14:compatExt spid="_x0000_s20492"/>
                </a:ext>
                <a:ext uri="{FF2B5EF4-FFF2-40B4-BE49-F238E27FC236}">
                  <a16:creationId xmlns:a16="http://schemas.microsoft.com/office/drawing/2014/main" id="{00000000-0008-0000-0300-00000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590550</xdr:colOff>
          <xdr:row>3</xdr:row>
          <xdr:rowOff>771525</xdr:rowOff>
        </xdr:from>
        <xdr:to>
          <xdr:col>9</xdr:col>
          <xdr:colOff>685800</xdr:colOff>
          <xdr:row>3</xdr:row>
          <xdr:rowOff>1085850</xdr:rowOff>
        </xdr:to>
        <xdr:sp macro="" textlink="">
          <xdr:nvSpPr>
            <xdr:cNvPr id="20493" name="ListBox2" hidden="1">
              <a:extLst>
                <a:ext uri="{63B3BB69-23CF-44E3-9099-C40C66FF867C}">
                  <a14:compatExt spid="_x0000_s20493"/>
                </a:ext>
                <a:ext uri="{FF2B5EF4-FFF2-40B4-BE49-F238E27FC236}">
                  <a16:creationId xmlns:a16="http://schemas.microsoft.com/office/drawing/2014/main" id="{00000000-0008-0000-0300-00000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390525</xdr:colOff>
          <xdr:row>3</xdr:row>
          <xdr:rowOff>28575</xdr:rowOff>
        </xdr:from>
        <xdr:to>
          <xdr:col>9</xdr:col>
          <xdr:colOff>295275</xdr:colOff>
          <xdr:row>3</xdr:row>
          <xdr:rowOff>295275</xdr:rowOff>
        </xdr:to>
        <xdr:sp macro="" textlink="">
          <xdr:nvSpPr>
            <xdr:cNvPr id="20494" name="CheckBox1" hidden="1">
              <a:extLst>
                <a:ext uri="{63B3BB69-23CF-44E3-9099-C40C66FF867C}">
                  <a14:compatExt spid="_x0000_s20494"/>
                </a:ext>
                <a:ext uri="{FF2B5EF4-FFF2-40B4-BE49-F238E27FC236}">
                  <a16:creationId xmlns:a16="http://schemas.microsoft.com/office/drawing/2014/main" id="{00000000-0008-0000-0300-00000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381000</xdr:colOff>
          <xdr:row>3</xdr:row>
          <xdr:rowOff>28575</xdr:rowOff>
        </xdr:from>
        <xdr:to>
          <xdr:col>8</xdr:col>
          <xdr:colOff>390525</xdr:colOff>
          <xdr:row>3</xdr:row>
          <xdr:rowOff>295275</xdr:rowOff>
        </xdr:to>
        <xdr:sp macro="" textlink="">
          <xdr:nvSpPr>
            <xdr:cNvPr id="20495" name="CheckBox2" hidden="1">
              <a:extLst>
                <a:ext uri="{63B3BB69-23CF-44E3-9099-C40C66FF867C}">
                  <a14:compatExt spid="_x0000_s20495"/>
                </a:ext>
                <a:ext uri="{FF2B5EF4-FFF2-40B4-BE49-F238E27FC236}">
                  <a16:creationId xmlns:a16="http://schemas.microsoft.com/office/drawing/2014/main" id="{00000000-0008-0000-0300-00000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381000</xdr:colOff>
          <xdr:row>3</xdr:row>
          <xdr:rowOff>219075</xdr:rowOff>
        </xdr:from>
        <xdr:to>
          <xdr:col>8</xdr:col>
          <xdr:colOff>390525</xdr:colOff>
          <xdr:row>3</xdr:row>
          <xdr:rowOff>485775</xdr:rowOff>
        </xdr:to>
        <xdr:sp macro="" textlink="">
          <xdr:nvSpPr>
            <xdr:cNvPr id="20496" name="CheckBox3" hidden="1">
              <a:extLst>
                <a:ext uri="{63B3BB69-23CF-44E3-9099-C40C66FF867C}">
                  <a14:compatExt spid="_x0000_s20496"/>
                </a:ext>
                <a:ext uri="{FF2B5EF4-FFF2-40B4-BE49-F238E27FC236}">
                  <a16:creationId xmlns:a16="http://schemas.microsoft.com/office/drawing/2014/main" id="{00000000-0008-0000-03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390525</xdr:colOff>
      <xdr:row>3</xdr:row>
      <xdr:rowOff>257175</xdr:rowOff>
    </xdr:from>
    <xdr:to>
      <xdr:col>8</xdr:col>
      <xdr:colOff>539115</xdr:colOff>
      <xdr:row>3</xdr:row>
      <xdr:rowOff>413385</xdr:rowOff>
    </xdr:to>
    <xdr:pic>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352675" y="1285875"/>
          <a:ext cx="148590" cy="15621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8</xdr:col>
          <xdr:colOff>76200</xdr:colOff>
          <xdr:row>0</xdr:row>
          <xdr:rowOff>0</xdr:rowOff>
        </xdr:to>
        <xdr:sp macro="" textlink="">
          <xdr:nvSpPr>
            <xdr:cNvPr id="20497" name="AnalyzerDynReport000tb1" hidden="1">
              <a:extLst>
                <a:ext uri="{63B3BB69-23CF-44E3-9099-C40C66FF867C}">
                  <a14:compatExt spid="_x0000_s20497"/>
                </a:ext>
                <a:ext uri="{FF2B5EF4-FFF2-40B4-BE49-F238E27FC236}">
                  <a16:creationId xmlns:a16="http://schemas.microsoft.com/office/drawing/2014/main" id="{00000000-0008-0000-0300-000011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8</xdr:col>
          <xdr:colOff>76200</xdr:colOff>
          <xdr:row>0</xdr:row>
          <xdr:rowOff>0</xdr:rowOff>
        </xdr:to>
        <xdr:sp macro="" textlink="">
          <xdr:nvSpPr>
            <xdr:cNvPr id="20498" name="ConnectionDescriptorsInfotb1" hidden="1">
              <a:extLst>
                <a:ext uri="{63B3BB69-23CF-44E3-9099-C40C66FF867C}">
                  <a14:compatExt spid="_x0000_s20498"/>
                </a:ext>
                <a:ext uri="{FF2B5EF4-FFF2-40B4-BE49-F238E27FC236}">
                  <a16:creationId xmlns:a16="http://schemas.microsoft.com/office/drawing/2014/main" id="{00000000-0008-0000-0300-000012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8</xdr:col>
          <xdr:colOff>76200</xdr:colOff>
          <xdr:row>0</xdr:row>
          <xdr:rowOff>0</xdr:rowOff>
        </xdr:to>
        <xdr:sp macro="" textlink="">
          <xdr:nvSpPr>
            <xdr:cNvPr id="20499" name="MultipleReportManagerInfotb1" hidden="1">
              <a:extLst>
                <a:ext uri="{63B3BB69-23CF-44E3-9099-C40C66FF867C}">
                  <a14:compatExt spid="_x0000_s20499"/>
                </a:ext>
                <a:ext uri="{FF2B5EF4-FFF2-40B4-BE49-F238E27FC236}">
                  <a16:creationId xmlns:a16="http://schemas.microsoft.com/office/drawing/2014/main" id="{00000000-0008-0000-0300-000013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8</xdr:col>
          <xdr:colOff>76200</xdr:colOff>
          <xdr:row>0</xdr:row>
          <xdr:rowOff>0</xdr:rowOff>
        </xdr:to>
        <xdr:sp macro="" textlink="">
          <xdr:nvSpPr>
            <xdr:cNvPr id="20500" name="ReportSubmitManagerControltb1" hidden="1">
              <a:extLst>
                <a:ext uri="{63B3BB69-23CF-44E3-9099-C40C66FF867C}">
                  <a14:compatExt spid="_x0000_s20500"/>
                </a:ext>
                <a:ext uri="{FF2B5EF4-FFF2-40B4-BE49-F238E27FC236}">
                  <a16:creationId xmlns:a16="http://schemas.microsoft.com/office/drawing/2014/main" id="{00000000-0008-0000-0300-000014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8</xdr:col>
          <xdr:colOff>76200</xdr:colOff>
          <xdr:row>0</xdr:row>
          <xdr:rowOff>0</xdr:rowOff>
        </xdr:to>
        <xdr:sp macro="" textlink="">
          <xdr:nvSpPr>
            <xdr:cNvPr id="20501" name="ReportSubmitControl_1tb1" hidden="1">
              <a:extLst>
                <a:ext uri="{63B3BB69-23CF-44E3-9099-C40C66FF867C}">
                  <a14:compatExt spid="_x0000_s20501"/>
                </a:ext>
                <a:ext uri="{FF2B5EF4-FFF2-40B4-BE49-F238E27FC236}">
                  <a16:creationId xmlns:a16="http://schemas.microsoft.com/office/drawing/2014/main" id="{00000000-0008-0000-0300-000015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390525</xdr:colOff>
          <xdr:row>0</xdr:row>
          <xdr:rowOff>0</xdr:rowOff>
        </xdr:to>
        <xdr:sp macro="" textlink="">
          <xdr:nvSpPr>
            <xdr:cNvPr id="20502" name="MultipleReportManagerInfoHCtb1" hidden="1">
              <a:extLst>
                <a:ext uri="{63B3BB69-23CF-44E3-9099-C40C66FF867C}">
                  <a14:compatExt spid="_x0000_s20502"/>
                </a:ext>
                <a:ext uri="{FF2B5EF4-FFF2-40B4-BE49-F238E27FC236}">
                  <a16:creationId xmlns:a16="http://schemas.microsoft.com/office/drawing/2014/main" id="{00000000-0008-0000-0300-000016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390525</xdr:colOff>
          <xdr:row>0</xdr:row>
          <xdr:rowOff>0</xdr:rowOff>
        </xdr:to>
        <xdr:sp macro="" textlink="">
          <xdr:nvSpPr>
            <xdr:cNvPr id="20503" name="MultipleReportManagerInfoDCtb1" hidden="1">
              <a:extLst>
                <a:ext uri="{63B3BB69-23CF-44E3-9099-C40C66FF867C}">
                  <a14:compatExt spid="_x0000_s20503"/>
                </a:ext>
                <a:ext uri="{FF2B5EF4-FFF2-40B4-BE49-F238E27FC236}">
                  <a16:creationId xmlns:a16="http://schemas.microsoft.com/office/drawing/2014/main" id="{00000000-0008-0000-0300-000017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390525</xdr:colOff>
          <xdr:row>0</xdr:row>
          <xdr:rowOff>0</xdr:rowOff>
        </xdr:to>
        <xdr:sp macro="" textlink="">
          <xdr:nvSpPr>
            <xdr:cNvPr id="20504" name="ConnectionDescriptorsInfoHCtb1" hidden="1">
              <a:extLst>
                <a:ext uri="{63B3BB69-23CF-44E3-9099-C40C66FF867C}">
                  <a14:compatExt spid="_x0000_s20504"/>
                </a:ext>
                <a:ext uri="{FF2B5EF4-FFF2-40B4-BE49-F238E27FC236}">
                  <a16:creationId xmlns:a16="http://schemas.microsoft.com/office/drawing/2014/main" id="{00000000-0008-0000-0300-000018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390525</xdr:colOff>
          <xdr:row>0</xdr:row>
          <xdr:rowOff>0</xdr:rowOff>
        </xdr:to>
        <xdr:sp macro="" textlink="">
          <xdr:nvSpPr>
            <xdr:cNvPr id="20505" name="ConnectionDescriptorsInfoDCtb1" hidden="1">
              <a:extLst>
                <a:ext uri="{63B3BB69-23CF-44E3-9099-C40C66FF867C}">
                  <a14:compatExt spid="_x0000_s20505"/>
                </a:ext>
                <a:ext uri="{FF2B5EF4-FFF2-40B4-BE49-F238E27FC236}">
                  <a16:creationId xmlns:a16="http://schemas.microsoft.com/office/drawing/2014/main" id="{00000000-0008-0000-0300-000019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419100</xdr:colOff>
          <xdr:row>0</xdr:row>
          <xdr:rowOff>0</xdr:rowOff>
        </xdr:to>
        <xdr:sp macro="" textlink="">
          <xdr:nvSpPr>
            <xdr:cNvPr id="20506" name="ReportSubmitManagerControlHCtb1" hidden="1">
              <a:extLst>
                <a:ext uri="{63B3BB69-23CF-44E3-9099-C40C66FF867C}">
                  <a14:compatExt spid="_x0000_s20506"/>
                </a:ext>
                <a:ext uri="{FF2B5EF4-FFF2-40B4-BE49-F238E27FC236}">
                  <a16:creationId xmlns:a16="http://schemas.microsoft.com/office/drawing/2014/main" id="{00000000-0008-0000-0300-00001A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419100</xdr:colOff>
          <xdr:row>0</xdr:row>
          <xdr:rowOff>0</xdr:rowOff>
        </xdr:to>
        <xdr:sp macro="" textlink="">
          <xdr:nvSpPr>
            <xdr:cNvPr id="20507" name="ReportSubmitManagerControlDCtb1" hidden="1">
              <a:extLst>
                <a:ext uri="{63B3BB69-23CF-44E3-9099-C40C66FF867C}">
                  <a14:compatExt spid="_x0000_s20507"/>
                </a:ext>
                <a:ext uri="{FF2B5EF4-FFF2-40B4-BE49-F238E27FC236}">
                  <a16:creationId xmlns:a16="http://schemas.microsoft.com/office/drawing/2014/main" id="{00000000-0008-0000-0300-00001B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419100</xdr:colOff>
          <xdr:row>0</xdr:row>
          <xdr:rowOff>0</xdr:rowOff>
        </xdr:to>
        <xdr:sp macro="" textlink="">
          <xdr:nvSpPr>
            <xdr:cNvPr id="20508" name="ReportSubmitControl_1HCtb1" hidden="1">
              <a:extLst>
                <a:ext uri="{63B3BB69-23CF-44E3-9099-C40C66FF867C}">
                  <a14:compatExt spid="_x0000_s20508"/>
                </a:ext>
                <a:ext uri="{FF2B5EF4-FFF2-40B4-BE49-F238E27FC236}">
                  <a16:creationId xmlns:a16="http://schemas.microsoft.com/office/drawing/2014/main" id="{00000000-0008-0000-0300-00001C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419100</xdr:colOff>
          <xdr:row>0</xdr:row>
          <xdr:rowOff>0</xdr:rowOff>
        </xdr:to>
        <xdr:sp macro="" textlink="">
          <xdr:nvSpPr>
            <xdr:cNvPr id="20509" name="ReportSubmitControl_1DCtb1" hidden="1">
              <a:extLst>
                <a:ext uri="{63B3BB69-23CF-44E3-9099-C40C66FF867C}">
                  <a14:compatExt spid="_x0000_s20509"/>
                </a:ext>
                <a:ext uri="{FF2B5EF4-FFF2-40B4-BE49-F238E27FC236}">
                  <a16:creationId xmlns:a16="http://schemas.microsoft.com/office/drawing/2014/main" id="{00000000-0008-0000-0300-00001D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419100</xdr:colOff>
          <xdr:row>0</xdr:row>
          <xdr:rowOff>0</xdr:rowOff>
        </xdr:to>
        <xdr:sp macro="" textlink="">
          <xdr:nvSpPr>
            <xdr:cNvPr id="20510" name="AnalyzerDynReportHC000tb1" hidden="1">
              <a:extLst>
                <a:ext uri="{63B3BB69-23CF-44E3-9099-C40C66FF867C}">
                  <a14:compatExt spid="_x0000_s20510"/>
                </a:ext>
                <a:ext uri="{FF2B5EF4-FFF2-40B4-BE49-F238E27FC236}">
                  <a16:creationId xmlns:a16="http://schemas.microsoft.com/office/drawing/2014/main" id="{00000000-0008-0000-0300-00001E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6</xdr:col>
          <xdr:colOff>419100</xdr:colOff>
          <xdr:row>0</xdr:row>
          <xdr:rowOff>0</xdr:rowOff>
        </xdr:to>
        <xdr:sp macro="" textlink="">
          <xdr:nvSpPr>
            <xdr:cNvPr id="20511" name="AnalyzerDynReportDC000tb1" hidden="1">
              <a:extLst>
                <a:ext uri="{63B3BB69-23CF-44E3-9099-C40C66FF867C}">
                  <a14:compatExt spid="_x0000_s20511"/>
                </a:ext>
                <a:ext uri="{FF2B5EF4-FFF2-40B4-BE49-F238E27FC236}">
                  <a16:creationId xmlns:a16="http://schemas.microsoft.com/office/drawing/2014/main" id="{00000000-0008-0000-0300-00001F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5.xml"/><Relationship Id="rId21" Type="http://schemas.openxmlformats.org/officeDocument/2006/relationships/ctrlProp" Target="../ctrlProps/ctrlProp10.xml"/><Relationship Id="rId42" Type="http://schemas.openxmlformats.org/officeDocument/2006/relationships/ctrlProp" Target="../ctrlProps/ctrlProp31.xml"/><Relationship Id="rId47" Type="http://schemas.openxmlformats.org/officeDocument/2006/relationships/ctrlProp" Target="../ctrlProps/ctrlProp36.xml"/><Relationship Id="rId63" Type="http://schemas.openxmlformats.org/officeDocument/2006/relationships/ctrlProp" Target="../ctrlProps/ctrlProp52.xml"/><Relationship Id="rId68" Type="http://schemas.openxmlformats.org/officeDocument/2006/relationships/ctrlProp" Target="../ctrlProps/ctrlProp57.xml"/><Relationship Id="rId84" Type="http://schemas.openxmlformats.org/officeDocument/2006/relationships/ctrlProp" Target="../ctrlProps/ctrlProp73.xml"/><Relationship Id="rId89" Type="http://schemas.openxmlformats.org/officeDocument/2006/relationships/ctrlProp" Target="../ctrlProps/ctrlProp78.xml"/><Relationship Id="rId16" Type="http://schemas.openxmlformats.org/officeDocument/2006/relationships/ctrlProp" Target="../ctrlProps/ctrlProp5.xml"/><Relationship Id="rId11" Type="http://schemas.openxmlformats.org/officeDocument/2006/relationships/image" Target="../media/image5.emf"/><Relationship Id="rId32" Type="http://schemas.openxmlformats.org/officeDocument/2006/relationships/ctrlProp" Target="../ctrlProps/ctrlProp21.xml"/><Relationship Id="rId37" Type="http://schemas.openxmlformats.org/officeDocument/2006/relationships/ctrlProp" Target="../ctrlProps/ctrlProp26.xml"/><Relationship Id="rId53" Type="http://schemas.openxmlformats.org/officeDocument/2006/relationships/ctrlProp" Target="../ctrlProps/ctrlProp42.xml"/><Relationship Id="rId58" Type="http://schemas.openxmlformats.org/officeDocument/2006/relationships/ctrlProp" Target="../ctrlProps/ctrlProp47.xml"/><Relationship Id="rId74" Type="http://schemas.openxmlformats.org/officeDocument/2006/relationships/ctrlProp" Target="../ctrlProps/ctrlProp63.xml"/><Relationship Id="rId79" Type="http://schemas.openxmlformats.org/officeDocument/2006/relationships/ctrlProp" Target="../ctrlProps/ctrlProp68.xml"/><Relationship Id="rId5" Type="http://schemas.openxmlformats.org/officeDocument/2006/relationships/image" Target="../media/image2.emf"/><Relationship Id="rId90" Type="http://schemas.openxmlformats.org/officeDocument/2006/relationships/ctrlProp" Target="../ctrlProps/ctrlProp79.xml"/><Relationship Id="rId95" Type="http://schemas.openxmlformats.org/officeDocument/2006/relationships/comments" Target="../comments1.xml"/><Relationship Id="rId22" Type="http://schemas.openxmlformats.org/officeDocument/2006/relationships/ctrlProp" Target="../ctrlProps/ctrlProp11.xml"/><Relationship Id="rId27" Type="http://schemas.openxmlformats.org/officeDocument/2006/relationships/ctrlProp" Target="../ctrlProps/ctrlProp16.xml"/><Relationship Id="rId43" Type="http://schemas.openxmlformats.org/officeDocument/2006/relationships/ctrlProp" Target="../ctrlProps/ctrlProp32.xml"/><Relationship Id="rId48" Type="http://schemas.openxmlformats.org/officeDocument/2006/relationships/ctrlProp" Target="../ctrlProps/ctrlProp37.xml"/><Relationship Id="rId64" Type="http://schemas.openxmlformats.org/officeDocument/2006/relationships/ctrlProp" Target="../ctrlProps/ctrlProp53.xml"/><Relationship Id="rId69" Type="http://schemas.openxmlformats.org/officeDocument/2006/relationships/ctrlProp" Target="../ctrlProps/ctrlProp58.xml"/><Relationship Id="rId8" Type="http://schemas.openxmlformats.org/officeDocument/2006/relationships/control" Target="../activeX/activeX4.xml"/><Relationship Id="rId51" Type="http://schemas.openxmlformats.org/officeDocument/2006/relationships/ctrlProp" Target="../ctrlProps/ctrlProp40.xml"/><Relationship Id="rId72" Type="http://schemas.openxmlformats.org/officeDocument/2006/relationships/ctrlProp" Target="../ctrlProps/ctrlProp61.xml"/><Relationship Id="rId80" Type="http://schemas.openxmlformats.org/officeDocument/2006/relationships/ctrlProp" Target="../ctrlProps/ctrlProp69.xml"/><Relationship Id="rId85" Type="http://schemas.openxmlformats.org/officeDocument/2006/relationships/ctrlProp" Target="../ctrlProps/ctrlProp74.xml"/><Relationship Id="rId93" Type="http://schemas.openxmlformats.org/officeDocument/2006/relationships/ctrlProp" Target="../ctrlProps/ctrlProp82.xml"/><Relationship Id="rId3" Type="http://schemas.openxmlformats.org/officeDocument/2006/relationships/vmlDrawing" Target="../drawings/vmlDrawing2.vml"/><Relationship Id="rId12" Type="http://schemas.openxmlformats.org/officeDocument/2006/relationships/ctrlProp" Target="../ctrlProps/ctrlProp1.xml"/><Relationship Id="rId17" Type="http://schemas.openxmlformats.org/officeDocument/2006/relationships/ctrlProp" Target="../ctrlProps/ctrlProp6.xml"/><Relationship Id="rId25" Type="http://schemas.openxmlformats.org/officeDocument/2006/relationships/ctrlProp" Target="../ctrlProps/ctrlProp14.xml"/><Relationship Id="rId33" Type="http://schemas.openxmlformats.org/officeDocument/2006/relationships/ctrlProp" Target="../ctrlProps/ctrlProp22.xml"/><Relationship Id="rId38" Type="http://schemas.openxmlformats.org/officeDocument/2006/relationships/ctrlProp" Target="../ctrlProps/ctrlProp27.xml"/><Relationship Id="rId46" Type="http://schemas.openxmlformats.org/officeDocument/2006/relationships/ctrlProp" Target="../ctrlProps/ctrlProp35.xml"/><Relationship Id="rId59" Type="http://schemas.openxmlformats.org/officeDocument/2006/relationships/ctrlProp" Target="../ctrlProps/ctrlProp48.xml"/><Relationship Id="rId67" Type="http://schemas.openxmlformats.org/officeDocument/2006/relationships/ctrlProp" Target="../ctrlProps/ctrlProp56.xml"/><Relationship Id="rId20" Type="http://schemas.openxmlformats.org/officeDocument/2006/relationships/ctrlProp" Target="../ctrlProps/ctrlProp9.xml"/><Relationship Id="rId41" Type="http://schemas.openxmlformats.org/officeDocument/2006/relationships/ctrlProp" Target="../ctrlProps/ctrlProp30.xml"/><Relationship Id="rId54" Type="http://schemas.openxmlformats.org/officeDocument/2006/relationships/ctrlProp" Target="../ctrlProps/ctrlProp43.xml"/><Relationship Id="rId62" Type="http://schemas.openxmlformats.org/officeDocument/2006/relationships/ctrlProp" Target="../ctrlProps/ctrlProp51.xml"/><Relationship Id="rId70" Type="http://schemas.openxmlformats.org/officeDocument/2006/relationships/ctrlProp" Target="../ctrlProps/ctrlProp59.xml"/><Relationship Id="rId75" Type="http://schemas.openxmlformats.org/officeDocument/2006/relationships/ctrlProp" Target="../ctrlProps/ctrlProp64.xml"/><Relationship Id="rId83" Type="http://schemas.openxmlformats.org/officeDocument/2006/relationships/ctrlProp" Target="../ctrlProps/ctrlProp72.xml"/><Relationship Id="rId88" Type="http://schemas.openxmlformats.org/officeDocument/2006/relationships/ctrlProp" Target="../ctrlProps/ctrlProp77.xml"/><Relationship Id="rId91" Type="http://schemas.openxmlformats.org/officeDocument/2006/relationships/ctrlProp" Target="../ctrlProps/ctrlProp80.xml"/><Relationship Id="rId1" Type="http://schemas.openxmlformats.org/officeDocument/2006/relationships/printerSettings" Target="../printerSettings/printerSettings2.bin"/><Relationship Id="rId6" Type="http://schemas.openxmlformats.org/officeDocument/2006/relationships/control" Target="../activeX/activeX3.xml"/><Relationship Id="rId15" Type="http://schemas.openxmlformats.org/officeDocument/2006/relationships/ctrlProp" Target="../ctrlProps/ctrlProp4.xml"/><Relationship Id="rId23" Type="http://schemas.openxmlformats.org/officeDocument/2006/relationships/ctrlProp" Target="../ctrlProps/ctrlProp12.xml"/><Relationship Id="rId28" Type="http://schemas.openxmlformats.org/officeDocument/2006/relationships/ctrlProp" Target="../ctrlProps/ctrlProp17.xml"/><Relationship Id="rId36" Type="http://schemas.openxmlformats.org/officeDocument/2006/relationships/ctrlProp" Target="../ctrlProps/ctrlProp25.xml"/><Relationship Id="rId49" Type="http://schemas.openxmlformats.org/officeDocument/2006/relationships/ctrlProp" Target="../ctrlProps/ctrlProp38.xml"/><Relationship Id="rId57" Type="http://schemas.openxmlformats.org/officeDocument/2006/relationships/ctrlProp" Target="../ctrlProps/ctrlProp46.xml"/><Relationship Id="rId10" Type="http://schemas.openxmlformats.org/officeDocument/2006/relationships/control" Target="../activeX/activeX5.xml"/><Relationship Id="rId31" Type="http://schemas.openxmlformats.org/officeDocument/2006/relationships/ctrlProp" Target="../ctrlProps/ctrlProp20.xml"/><Relationship Id="rId44" Type="http://schemas.openxmlformats.org/officeDocument/2006/relationships/ctrlProp" Target="../ctrlProps/ctrlProp33.xml"/><Relationship Id="rId52" Type="http://schemas.openxmlformats.org/officeDocument/2006/relationships/ctrlProp" Target="../ctrlProps/ctrlProp41.xml"/><Relationship Id="rId60" Type="http://schemas.openxmlformats.org/officeDocument/2006/relationships/ctrlProp" Target="../ctrlProps/ctrlProp49.xml"/><Relationship Id="rId65" Type="http://schemas.openxmlformats.org/officeDocument/2006/relationships/ctrlProp" Target="../ctrlProps/ctrlProp54.xml"/><Relationship Id="rId73" Type="http://schemas.openxmlformats.org/officeDocument/2006/relationships/ctrlProp" Target="../ctrlProps/ctrlProp62.xml"/><Relationship Id="rId78" Type="http://schemas.openxmlformats.org/officeDocument/2006/relationships/ctrlProp" Target="../ctrlProps/ctrlProp67.xml"/><Relationship Id="rId81" Type="http://schemas.openxmlformats.org/officeDocument/2006/relationships/ctrlProp" Target="../ctrlProps/ctrlProp70.xml"/><Relationship Id="rId86" Type="http://schemas.openxmlformats.org/officeDocument/2006/relationships/ctrlProp" Target="../ctrlProps/ctrlProp75.xml"/><Relationship Id="rId94" Type="http://schemas.openxmlformats.org/officeDocument/2006/relationships/ctrlProp" Target="../ctrlProps/ctrlProp83.xml"/><Relationship Id="rId9" Type="http://schemas.openxmlformats.org/officeDocument/2006/relationships/image" Target="../media/image4.emf"/><Relationship Id="rId4" Type="http://schemas.openxmlformats.org/officeDocument/2006/relationships/control" Target="../activeX/activeX2.xml"/><Relationship Id="rId13" Type="http://schemas.openxmlformats.org/officeDocument/2006/relationships/ctrlProp" Target="../ctrlProps/ctrlProp2.xml"/><Relationship Id="rId18" Type="http://schemas.openxmlformats.org/officeDocument/2006/relationships/ctrlProp" Target="../ctrlProps/ctrlProp7.xml"/><Relationship Id="rId39" Type="http://schemas.openxmlformats.org/officeDocument/2006/relationships/ctrlProp" Target="../ctrlProps/ctrlProp28.xml"/><Relationship Id="rId34" Type="http://schemas.openxmlformats.org/officeDocument/2006/relationships/ctrlProp" Target="../ctrlProps/ctrlProp23.xml"/><Relationship Id="rId50" Type="http://schemas.openxmlformats.org/officeDocument/2006/relationships/ctrlProp" Target="../ctrlProps/ctrlProp39.xml"/><Relationship Id="rId55" Type="http://schemas.openxmlformats.org/officeDocument/2006/relationships/ctrlProp" Target="../ctrlProps/ctrlProp44.xml"/><Relationship Id="rId76" Type="http://schemas.openxmlformats.org/officeDocument/2006/relationships/ctrlProp" Target="../ctrlProps/ctrlProp65.xml"/><Relationship Id="rId7" Type="http://schemas.openxmlformats.org/officeDocument/2006/relationships/image" Target="../media/image3.emf"/><Relationship Id="rId71" Type="http://schemas.openxmlformats.org/officeDocument/2006/relationships/ctrlProp" Target="../ctrlProps/ctrlProp60.xml"/><Relationship Id="rId92" Type="http://schemas.openxmlformats.org/officeDocument/2006/relationships/ctrlProp" Target="../ctrlProps/ctrlProp81.xml"/><Relationship Id="rId2" Type="http://schemas.openxmlformats.org/officeDocument/2006/relationships/drawing" Target="../drawings/drawing2.xml"/><Relationship Id="rId29" Type="http://schemas.openxmlformats.org/officeDocument/2006/relationships/ctrlProp" Target="../ctrlProps/ctrlProp18.xml"/><Relationship Id="rId24" Type="http://schemas.openxmlformats.org/officeDocument/2006/relationships/ctrlProp" Target="../ctrlProps/ctrlProp13.xml"/><Relationship Id="rId40" Type="http://schemas.openxmlformats.org/officeDocument/2006/relationships/ctrlProp" Target="../ctrlProps/ctrlProp29.xml"/><Relationship Id="rId45" Type="http://schemas.openxmlformats.org/officeDocument/2006/relationships/ctrlProp" Target="../ctrlProps/ctrlProp34.xml"/><Relationship Id="rId66" Type="http://schemas.openxmlformats.org/officeDocument/2006/relationships/ctrlProp" Target="../ctrlProps/ctrlProp55.xml"/><Relationship Id="rId87" Type="http://schemas.openxmlformats.org/officeDocument/2006/relationships/ctrlProp" Target="../ctrlProps/ctrlProp76.xml"/><Relationship Id="rId61" Type="http://schemas.openxmlformats.org/officeDocument/2006/relationships/ctrlProp" Target="../ctrlProps/ctrlProp50.xml"/><Relationship Id="rId82" Type="http://schemas.openxmlformats.org/officeDocument/2006/relationships/ctrlProp" Target="../ctrlProps/ctrlProp71.xml"/><Relationship Id="rId19" Type="http://schemas.openxmlformats.org/officeDocument/2006/relationships/ctrlProp" Target="../ctrlProps/ctrlProp8.xml"/><Relationship Id="rId14" Type="http://schemas.openxmlformats.org/officeDocument/2006/relationships/ctrlProp" Target="../ctrlProps/ctrlProp3.xml"/><Relationship Id="rId30" Type="http://schemas.openxmlformats.org/officeDocument/2006/relationships/ctrlProp" Target="../ctrlProps/ctrlProp19.xml"/><Relationship Id="rId35" Type="http://schemas.openxmlformats.org/officeDocument/2006/relationships/ctrlProp" Target="../ctrlProps/ctrlProp24.xml"/><Relationship Id="rId56" Type="http://schemas.openxmlformats.org/officeDocument/2006/relationships/ctrlProp" Target="../ctrlProps/ctrlProp45.xml"/><Relationship Id="rId77" Type="http://schemas.openxmlformats.org/officeDocument/2006/relationships/ctrlProp" Target="../ctrlProps/ctrlProp66.xml"/></Relationships>
</file>

<file path=xl/worksheets/_rels/sheet3.xml.rels><?xml version="1.0" encoding="UTF-8" standalone="yes"?>
<Relationships xmlns="http://schemas.openxmlformats.org/package/2006/relationships"><Relationship Id="rId26" Type="http://schemas.openxmlformats.org/officeDocument/2006/relationships/control" Target="../activeX/activeX15.xml"/><Relationship Id="rId42" Type="http://schemas.openxmlformats.org/officeDocument/2006/relationships/control" Target="../activeX/activeX23.xml"/><Relationship Id="rId47" Type="http://schemas.openxmlformats.org/officeDocument/2006/relationships/image" Target="../media/image26.emf"/><Relationship Id="rId50" Type="http://schemas.openxmlformats.org/officeDocument/2006/relationships/control" Target="../activeX/activeX27.xml"/><Relationship Id="rId34" Type="http://schemas.openxmlformats.org/officeDocument/2006/relationships/control" Target="../activeX/activeX19.xml"/><Relationship Id="rId55" Type="http://schemas.openxmlformats.org/officeDocument/2006/relationships/image" Target="../media/image29.emf"/><Relationship Id="rId63" Type="http://schemas.openxmlformats.org/officeDocument/2006/relationships/image" Target="../media/image33.emf"/><Relationship Id="rId21" Type="http://schemas.openxmlformats.org/officeDocument/2006/relationships/image" Target="../media/image13.emf"/><Relationship Id="rId7" Type="http://schemas.openxmlformats.org/officeDocument/2006/relationships/image" Target="../media/image6.png"/><Relationship Id="rId2" Type="http://schemas.openxmlformats.org/officeDocument/2006/relationships/customProperty" Target="../customProperty2.bin"/><Relationship Id="rId29" Type="http://schemas.openxmlformats.org/officeDocument/2006/relationships/image" Target="../media/image17.emf"/><Relationship Id="rId16" Type="http://schemas.openxmlformats.org/officeDocument/2006/relationships/control" Target="../activeX/activeX10.xml"/><Relationship Id="rId40" Type="http://schemas.openxmlformats.org/officeDocument/2006/relationships/control" Target="../activeX/activeX22.xml"/><Relationship Id="rId45" Type="http://schemas.openxmlformats.org/officeDocument/2006/relationships/image" Target="../media/image25.emf"/><Relationship Id="rId53" Type="http://schemas.openxmlformats.org/officeDocument/2006/relationships/image" Target="../media/image28.emf"/><Relationship Id="rId37" Type="http://schemas.openxmlformats.org/officeDocument/2006/relationships/image" Target="../media/image21.emf"/><Relationship Id="rId32" Type="http://schemas.openxmlformats.org/officeDocument/2006/relationships/control" Target="../activeX/activeX18.xml"/><Relationship Id="rId58" Type="http://schemas.openxmlformats.org/officeDocument/2006/relationships/control" Target="../activeX/activeX32.xml"/><Relationship Id="rId66" Type="http://schemas.openxmlformats.org/officeDocument/2006/relationships/control" Target="../activeX/activeX36.xml"/><Relationship Id="rId24" Type="http://schemas.openxmlformats.org/officeDocument/2006/relationships/control" Target="../activeX/activeX14.xml"/><Relationship Id="rId11" Type="http://schemas.openxmlformats.org/officeDocument/2006/relationships/image" Target="../media/image8.emf"/><Relationship Id="rId5" Type="http://schemas.openxmlformats.org/officeDocument/2006/relationships/drawing" Target="../drawings/drawing3.xml"/><Relationship Id="rId61" Type="http://schemas.openxmlformats.org/officeDocument/2006/relationships/image" Target="../media/image32.emf"/><Relationship Id="rId19" Type="http://schemas.openxmlformats.org/officeDocument/2006/relationships/image" Target="../media/image12.emf"/><Relationship Id="rId43" Type="http://schemas.openxmlformats.org/officeDocument/2006/relationships/image" Target="../media/image24.emf"/><Relationship Id="rId48" Type="http://schemas.openxmlformats.org/officeDocument/2006/relationships/control" Target="../activeX/activeX26.xml"/><Relationship Id="rId35" Type="http://schemas.openxmlformats.org/officeDocument/2006/relationships/image" Target="../media/image20.emf"/><Relationship Id="rId30" Type="http://schemas.openxmlformats.org/officeDocument/2006/relationships/control" Target="../activeX/activeX17.xml"/><Relationship Id="rId56" Type="http://schemas.openxmlformats.org/officeDocument/2006/relationships/control" Target="../activeX/activeX31.xml"/><Relationship Id="rId64" Type="http://schemas.openxmlformats.org/officeDocument/2006/relationships/control" Target="../activeX/activeX35.xml"/><Relationship Id="rId27" Type="http://schemas.openxmlformats.org/officeDocument/2006/relationships/image" Target="../media/image16.emf"/><Relationship Id="rId22" Type="http://schemas.openxmlformats.org/officeDocument/2006/relationships/control" Target="../activeX/activeX13.xml"/><Relationship Id="rId14" Type="http://schemas.openxmlformats.org/officeDocument/2006/relationships/control" Target="../activeX/activeX9.xml"/><Relationship Id="rId51" Type="http://schemas.openxmlformats.org/officeDocument/2006/relationships/control" Target="../activeX/activeX28.xml"/><Relationship Id="rId8" Type="http://schemas.openxmlformats.org/officeDocument/2006/relationships/control" Target="../activeX/activeX6.xml"/><Relationship Id="rId3" Type="http://schemas.openxmlformats.org/officeDocument/2006/relationships/customProperty" Target="../customProperty3.bin"/><Relationship Id="rId38" Type="http://schemas.openxmlformats.org/officeDocument/2006/relationships/control" Target="../activeX/activeX21.xml"/><Relationship Id="rId46" Type="http://schemas.openxmlformats.org/officeDocument/2006/relationships/control" Target="../activeX/activeX25.xml"/><Relationship Id="rId33" Type="http://schemas.openxmlformats.org/officeDocument/2006/relationships/image" Target="../media/image19.emf"/><Relationship Id="rId59" Type="http://schemas.openxmlformats.org/officeDocument/2006/relationships/image" Target="../media/image31.emf"/><Relationship Id="rId67" Type="http://schemas.openxmlformats.org/officeDocument/2006/relationships/image" Target="../media/image35.emf"/><Relationship Id="rId25" Type="http://schemas.openxmlformats.org/officeDocument/2006/relationships/image" Target="../media/image15.emf"/><Relationship Id="rId17" Type="http://schemas.openxmlformats.org/officeDocument/2006/relationships/image" Target="../media/image11.emf"/><Relationship Id="rId12" Type="http://schemas.openxmlformats.org/officeDocument/2006/relationships/control" Target="../activeX/activeX8.xml"/><Relationship Id="rId41" Type="http://schemas.openxmlformats.org/officeDocument/2006/relationships/image" Target="../media/image23.emf"/><Relationship Id="rId54" Type="http://schemas.openxmlformats.org/officeDocument/2006/relationships/control" Target="../activeX/activeX30.xml"/><Relationship Id="rId62" Type="http://schemas.openxmlformats.org/officeDocument/2006/relationships/control" Target="../activeX/activeX34.xml"/><Relationship Id="rId20" Type="http://schemas.openxmlformats.org/officeDocument/2006/relationships/control" Target="../activeX/activeX12.xml"/><Relationship Id="rId1" Type="http://schemas.openxmlformats.org/officeDocument/2006/relationships/printerSettings" Target="../printerSettings/printerSettings3.bin"/><Relationship Id="rId6" Type="http://schemas.openxmlformats.org/officeDocument/2006/relationships/vmlDrawing" Target="../drawings/vmlDrawing3.vml"/><Relationship Id="rId49" Type="http://schemas.openxmlformats.org/officeDocument/2006/relationships/image" Target="../media/image27.emf"/><Relationship Id="rId36" Type="http://schemas.openxmlformats.org/officeDocument/2006/relationships/control" Target="../activeX/activeX20.xml"/><Relationship Id="rId28" Type="http://schemas.openxmlformats.org/officeDocument/2006/relationships/control" Target="../activeX/activeX16.xml"/><Relationship Id="rId57" Type="http://schemas.openxmlformats.org/officeDocument/2006/relationships/image" Target="../media/image30.emf"/><Relationship Id="rId23" Type="http://schemas.openxmlformats.org/officeDocument/2006/relationships/image" Target="../media/image14.emf"/><Relationship Id="rId15" Type="http://schemas.openxmlformats.org/officeDocument/2006/relationships/image" Target="../media/image10.emf"/><Relationship Id="rId44" Type="http://schemas.openxmlformats.org/officeDocument/2006/relationships/control" Target="../activeX/activeX24.xml"/><Relationship Id="rId52" Type="http://schemas.openxmlformats.org/officeDocument/2006/relationships/control" Target="../activeX/activeX29.xml"/><Relationship Id="rId31" Type="http://schemas.openxmlformats.org/officeDocument/2006/relationships/image" Target="../media/image18.emf"/><Relationship Id="rId60" Type="http://schemas.openxmlformats.org/officeDocument/2006/relationships/control" Target="../activeX/activeX33.xml"/><Relationship Id="rId65" Type="http://schemas.openxmlformats.org/officeDocument/2006/relationships/image" Target="../media/image34.emf"/><Relationship Id="rId10" Type="http://schemas.openxmlformats.org/officeDocument/2006/relationships/control" Target="../activeX/activeX7.xml"/><Relationship Id="rId4" Type="http://schemas.openxmlformats.org/officeDocument/2006/relationships/customProperty" Target="../customProperty4.bin"/><Relationship Id="rId9" Type="http://schemas.openxmlformats.org/officeDocument/2006/relationships/image" Target="../media/image7.emf"/><Relationship Id="rId39" Type="http://schemas.openxmlformats.org/officeDocument/2006/relationships/image" Target="../media/image22.emf"/><Relationship Id="rId18" Type="http://schemas.openxmlformats.org/officeDocument/2006/relationships/control" Target="../activeX/activeX11.xml"/><Relationship Id="rId13" Type="http://schemas.openxmlformats.org/officeDocument/2006/relationships/image" Target="../media/image9.emf"/></Relationships>
</file>

<file path=xl/worksheets/_rels/sheet4.xml.rels><?xml version="1.0" encoding="UTF-8" standalone="yes"?>
<Relationships xmlns="http://schemas.openxmlformats.org/package/2006/relationships"><Relationship Id="rId26" Type="http://schemas.openxmlformats.org/officeDocument/2006/relationships/control" Target="../activeX/activeX47.xml"/><Relationship Id="rId63" Type="http://schemas.openxmlformats.org/officeDocument/2006/relationships/image" Target="../media/image23.emf"/><Relationship Id="rId55" Type="http://schemas.openxmlformats.org/officeDocument/2006/relationships/image" Target="../media/image25.emf"/><Relationship Id="rId50" Type="http://schemas.openxmlformats.org/officeDocument/2006/relationships/control" Target="../activeX/activeX59.xml"/><Relationship Id="rId47" Type="http://schemas.openxmlformats.org/officeDocument/2006/relationships/image" Target="../media/image21.emf"/><Relationship Id="rId42" Type="http://schemas.openxmlformats.org/officeDocument/2006/relationships/control" Target="../activeX/activeX55.xml"/><Relationship Id="rId34" Type="http://schemas.openxmlformats.org/officeDocument/2006/relationships/control" Target="../activeX/activeX51.xml"/><Relationship Id="rId21" Type="http://schemas.openxmlformats.org/officeDocument/2006/relationships/image" Target="../media/image46.emf"/><Relationship Id="rId7" Type="http://schemas.openxmlformats.org/officeDocument/2006/relationships/image" Target="../media/image39.emf"/><Relationship Id="rId2" Type="http://schemas.openxmlformats.org/officeDocument/2006/relationships/customProperty" Target="../customProperty5.bin"/><Relationship Id="rId29" Type="http://schemas.openxmlformats.org/officeDocument/2006/relationships/image" Target="../media/image50.emf"/><Relationship Id="rId16" Type="http://schemas.openxmlformats.org/officeDocument/2006/relationships/control" Target="../activeX/activeX42.xml"/><Relationship Id="rId58" Type="http://schemas.openxmlformats.org/officeDocument/2006/relationships/control" Target="../activeX/activeX63.xml"/><Relationship Id="rId53" Type="http://schemas.openxmlformats.org/officeDocument/2006/relationships/image" Target="../media/image26.emf"/><Relationship Id="rId45" Type="http://schemas.openxmlformats.org/officeDocument/2006/relationships/image" Target="../media/image58.emf"/><Relationship Id="rId40" Type="http://schemas.openxmlformats.org/officeDocument/2006/relationships/control" Target="../activeX/activeX54.xml"/><Relationship Id="rId37" Type="http://schemas.openxmlformats.org/officeDocument/2006/relationships/image" Target="../media/image54.emf"/><Relationship Id="rId32" Type="http://schemas.openxmlformats.org/officeDocument/2006/relationships/control" Target="../activeX/activeX50.xml"/><Relationship Id="rId24" Type="http://schemas.openxmlformats.org/officeDocument/2006/relationships/control" Target="../activeX/activeX46.xml"/><Relationship Id="rId11" Type="http://schemas.openxmlformats.org/officeDocument/2006/relationships/image" Target="../media/image41.emf"/><Relationship Id="rId5" Type="http://schemas.openxmlformats.org/officeDocument/2006/relationships/image" Target="../media/image38.png"/><Relationship Id="rId61" Type="http://schemas.openxmlformats.org/officeDocument/2006/relationships/image" Target="../media/image62.emf"/><Relationship Id="rId19" Type="http://schemas.openxmlformats.org/officeDocument/2006/relationships/image" Target="../media/image45.emf"/><Relationship Id="rId64" Type="http://schemas.openxmlformats.org/officeDocument/2006/relationships/control" Target="../activeX/activeX67.xml"/><Relationship Id="rId56" Type="http://schemas.openxmlformats.org/officeDocument/2006/relationships/control" Target="../activeX/activeX62.xml"/><Relationship Id="rId48" Type="http://schemas.openxmlformats.org/officeDocument/2006/relationships/control" Target="../activeX/activeX58.xml"/><Relationship Id="rId43" Type="http://schemas.openxmlformats.org/officeDocument/2006/relationships/image" Target="../media/image57.emf"/><Relationship Id="rId35" Type="http://schemas.openxmlformats.org/officeDocument/2006/relationships/image" Target="../media/image53.emf"/><Relationship Id="rId30" Type="http://schemas.openxmlformats.org/officeDocument/2006/relationships/control" Target="../activeX/activeX49.xml"/><Relationship Id="rId27" Type="http://schemas.openxmlformats.org/officeDocument/2006/relationships/image" Target="../media/image49.emf"/><Relationship Id="rId22" Type="http://schemas.openxmlformats.org/officeDocument/2006/relationships/control" Target="../activeX/activeX45.xml"/><Relationship Id="rId14" Type="http://schemas.openxmlformats.org/officeDocument/2006/relationships/control" Target="../activeX/activeX41.xml"/><Relationship Id="rId51" Type="http://schemas.openxmlformats.org/officeDocument/2006/relationships/image" Target="../media/image60.emf"/><Relationship Id="rId8" Type="http://schemas.openxmlformats.org/officeDocument/2006/relationships/control" Target="../activeX/activeX38.xml"/><Relationship Id="rId3" Type="http://schemas.openxmlformats.org/officeDocument/2006/relationships/drawing" Target="../drawings/drawing4.xml"/><Relationship Id="rId59" Type="http://schemas.openxmlformats.org/officeDocument/2006/relationships/control" Target="../activeX/activeX64.xml"/><Relationship Id="rId46" Type="http://schemas.openxmlformats.org/officeDocument/2006/relationships/control" Target="../activeX/activeX57.xml"/><Relationship Id="rId38" Type="http://schemas.openxmlformats.org/officeDocument/2006/relationships/control" Target="../activeX/activeX53.xml"/><Relationship Id="rId33" Type="http://schemas.openxmlformats.org/officeDocument/2006/relationships/image" Target="../media/image52.emf"/><Relationship Id="rId25" Type="http://schemas.openxmlformats.org/officeDocument/2006/relationships/image" Target="../media/image48.emf"/><Relationship Id="rId17" Type="http://schemas.openxmlformats.org/officeDocument/2006/relationships/image" Target="../media/image44.emf"/><Relationship Id="rId12" Type="http://schemas.openxmlformats.org/officeDocument/2006/relationships/control" Target="../activeX/activeX40.xml"/><Relationship Id="rId62" Type="http://schemas.openxmlformats.org/officeDocument/2006/relationships/control" Target="../activeX/activeX66.xml"/><Relationship Id="rId54" Type="http://schemas.openxmlformats.org/officeDocument/2006/relationships/control" Target="../activeX/activeX61.xml"/><Relationship Id="rId41" Type="http://schemas.openxmlformats.org/officeDocument/2006/relationships/image" Target="../media/image56.emf"/><Relationship Id="rId20" Type="http://schemas.openxmlformats.org/officeDocument/2006/relationships/control" Target="../activeX/activeX44.xml"/><Relationship Id="rId1" Type="http://schemas.openxmlformats.org/officeDocument/2006/relationships/printerSettings" Target="../printerSettings/printerSettings4.bin"/><Relationship Id="rId6" Type="http://schemas.openxmlformats.org/officeDocument/2006/relationships/control" Target="../activeX/activeX37.xml"/><Relationship Id="rId57" Type="http://schemas.openxmlformats.org/officeDocument/2006/relationships/image" Target="../media/image61.emf"/><Relationship Id="rId49" Type="http://schemas.openxmlformats.org/officeDocument/2006/relationships/image" Target="../media/image59.emf"/><Relationship Id="rId36" Type="http://schemas.openxmlformats.org/officeDocument/2006/relationships/control" Target="../activeX/activeX52.xml"/><Relationship Id="rId28" Type="http://schemas.openxmlformats.org/officeDocument/2006/relationships/control" Target="../activeX/activeX48.xml"/><Relationship Id="rId23" Type="http://schemas.openxmlformats.org/officeDocument/2006/relationships/image" Target="../media/image47.emf"/><Relationship Id="rId15" Type="http://schemas.openxmlformats.org/officeDocument/2006/relationships/image" Target="../media/image43.emf"/><Relationship Id="rId65" Type="http://schemas.openxmlformats.org/officeDocument/2006/relationships/image" Target="../media/image63.emf"/><Relationship Id="rId60" Type="http://schemas.openxmlformats.org/officeDocument/2006/relationships/control" Target="../activeX/activeX65.xml"/><Relationship Id="rId52" Type="http://schemas.openxmlformats.org/officeDocument/2006/relationships/control" Target="../activeX/activeX60.xml"/><Relationship Id="rId44" Type="http://schemas.openxmlformats.org/officeDocument/2006/relationships/control" Target="../activeX/activeX56.xml"/><Relationship Id="rId31" Type="http://schemas.openxmlformats.org/officeDocument/2006/relationships/image" Target="../media/image51.emf"/><Relationship Id="rId10" Type="http://schemas.openxmlformats.org/officeDocument/2006/relationships/control" Target="../activeX/activeX39.xml"/><Relationship Id="rId4" Type="http://schemas.openxmlformats.org/officeDocument/2006/relationships/vmlDrawing" Target="../drawings/vmlDrawing4.vml"/><Relationship Id="rId9" Type="http://schemas.openxmlformats.org/officeDocument/2006/relationships/image" Target="../media/image40.emf"/><Relationship Id="rId39" Type="http://schemas.openxmlformats.org/officeDocument/2006/relationships/image" Target="../media/image55.emf"/><Relationship Id="rId18" Type="http://schemas.openxmlformats.org/officeDocument/2006/relationships/control" Target="../activeX/activeX43.xml"/><Relationship Id="rId13" Type="http://schemas.openxmlformats.org/officeDocument/2006/relationships/image" Target="../media/image4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B83"/>
  <sheetViews>
    <sheetView topLeftCell="A55" workbookViewId="0"/>
  </sheetViews>
  <sheetFormatPr defaultRowHeight="15"/>
  <cols>
    <col min="1" max="1" width="13.28515625" bestFit="1" customWidth="1"/>
  </cols>
  <sheetData>
    <row r="1" spans="1:106" ht="409.5">
      <c r="A1" t="s">
        <v>0</v>
      </c>
      <c r="B1" s="60" t="s">
        <v>1</v>
      </c>
    </row>
    <row r="2" spans="1:106" ht="240">
      <c r="A2" t="s">
        <v>2</v>
      </c>
      <c r="B2" s="60" t="s">
        <v>3</v>
      </c>
    </row>
    <row r="3" spans="1:106">
      <c r="A3" t="s">
        <v>4</v>
      </c>
      <c r="C3" t="s">
        <v>5</v>
      </c>
      <c r="D3" t="s">
        <v>6</v>
      </c>
      <c r="E3" t="s">
        <v>7</v>
      </c>
      <c r="F3" t="s">
        <v>8</v>
      </c>
      <c r="G3" t="s">
        <v>9</v>
      </c>
      <c r="H3" t="s">
        <v>10</v>
      </c>
      <c r="I3" t="s">
        <v>11</v>
      </c>
      <c r="J3" t="s">
        <v>12</v>
      </c>
      <c r="K3" t="s">
        <v>13</v>
      </c>
      <c r="L3" t="s">
        <v>14</v>
      </c>
      <c r="M3" t="s">
        <v>15</v>
      </c>
      <c r="N3" t="s">
        <v>16</v>
      </c>
      <c r="O3" t="s">
        <v>17</v>
      </c>
      <c r="P3" t="s">
        <v>18</v>
      </c>
      <c r="Q3" t="s">
        <v>19</v>
      </c>
      <c r="R3" t="s">
        <v>20</v>
      </c>
      <c r="S3" t="s">
        <v>21</v>
      </c>
      <c r="T3" t="s">
        <v>22</v>
      </c>
      <c r="U3" t="s">
        <v>23</v>
      </c>
      <c r="V3" t="s">
        <v>24</v>
      </c>
      <c r="W3" t="s">
        <v>25</v>
      </c>
      <c r="X3" t="s">
        <v>26</v>
      </c>
      <c r="Y3" t="s">
        <v>27</v>
      </c>
      <c r="Z3" t="s">
        <v>28</v>
      </c>
      <c r="AA3" t="s">
        <v>29</v>
      </c>
      <c r="AB3" t="s">
        <v>30</v>
      </c>
      <c r="AC3" t="s">
        <v>31</v>
      </c>
      <c r="AD3" t="s">
        <v>32</v>
      </c>
      <c r="AE3" t="s">
        <v>33</v>
      </c>
      <c r="AF3" t="s">
        <v>34</v>
      </c>
      <c r="AG3" t="s">
        <v>35</v>
      </c>
      <c r="AH3" t="s">
        <v>36</v>
      </c>
      <c r="AI3" t="s">
        <v>37</v>
      </c>
      <c r="AJ3" t="s">
        <v>38</v>
      </c>
      <c r="AK3" t="s">
        <v>39</v>
      </c>
      <c r="AL3" t="s">
        <v>40</v>
      </c>
      <c r="AM3" t="s">
        <v>41</v>
      </c>
      <c r="AN3" t="s">
        <v>42</v>
      </c>
      <c r="AO3" t="s">
        <v>43</v>
      </c>
      <c r="AP3" t="s">
        <v>44</v>
      </c>
      <c r="AQ3" t="s">
        <v>45</v>
      </c>
      <c r="AR3" t="s">
        <v>46</v>
      </c>
      <c r="AS3" t="s">
        <v>47</v>
      </c>
      <c r="AT3" t="s">
        <v>48</v>
      </c>
      <c r="AU3" t="s">
        <v>49</v>
      </c>
      <c r="AV3" t="s">
        <v>50</v>
      </c>
      <c r="AW3" t="s">
        <v>51</v>
      </c>
      <c r="AX3" t="s">
        <v>52</v>
      </c>
      <c r="AY3" t="s">
        <v>53</v>
      </c>
      <c r="AZ3" t="s">
        <v>54</v>
      </c>
      <c r="BA3" t="s">
        <v>55</v>
      </c>
      <c r="BB3" t="s">
        <v>56</v>
      </c>
      <c r="BC3" t="s">
        <v>57</v>
      </c>
      <c r="BD3" t="s">
        <v>58</v>
      </c>
      <c r="BE3" t="s">
        <v>59</v>
      </c>
      <c r="BF3" t="s">
        <v>60</v>
      </c>
      <c r="BG3" t="s">
        <v>61</v>
      </c>
      <c r="BH3" t="s">
        <v>62</v>
      </c>
      <c r="BI3" t="s">
        <v>63</v>
      </c>
      <c r="BJ3" t="s">
        <v>64</v>
      </c>
      <c r="BK3" t="s">
        <v>65</v>
      </c>
      <c r="BL3" t="s">
        <v>66</v>
      </c>
      <c r="BM3" t="s">
        <v>67</v>
      </c>
      <c r="BN3" t="s">
        <v>68</v>
      </c>
      <c r="BO3" t="s">
        <v>69</v>
      </c>
      <c r="BP3" t="s">
        <v>70</v>
      </c>
      <c r="BQ3" t="s">
        <v>71</v>
      </c>
      <c r="BR3" t="s">
        <v>72</v>
      </c>
      <c r="BS3" t="s">
        <v>73</v>
      </c>
      <c r="BT3" t="s">
        <v>74</v>
      </c>
      <c r="BU3" t="s">
        <v>75</v>
      </c>
      <c r="BV3" t="s">
        <v>76</v>
      </c>
      <c r="BW3" t="s">
        <v>77</v>
      </c>
      <c r="BX3" t="s">
        <v>78</v>
      </c>
      <c r="BY3" t="s">
        <v>79</v>
      </c>
      <c r="BZ3" t="s">
        <v>80</v>
      </c>
      <c r="CA3" t="s">
        <v>81</v>
      </c>
      <c r="CB3" t="s">
        <v>82</v>
      </c>
      <c r="CC3" t="s">
        <v>83</v>
      </c>
      <c r="CD3" t="s">
        <v>84</v>
      </c>
      <c r="CE3" t="s">
        <v>85</v>
      </c>
      <c r="CF3" t="s">
        <v>86</v>
      </c>
      <c r="CG3" t="s">
        <v>87</v>
      </c>
      <c r="CH3" t="s">
        <v>88</v>
      </c>
      <c r="CI3" t="s">
        <v>89</v>
      </c>
      <c r="CJ3" t="s">
        <v>90</v>
      </c>
      <c r="CK3" t="s">
        <v>91</v>
      </c>
      <c r="CL3" t="s">
        <v>92</v>
      </c>
      <c r="CM3" t="s">
        <v>93</v>
      </c>
      <c r="CN3" t="s">
        <v>94</v>
      </c>
      <c r="CO3" t="s">
        <v>95</v>
      </c>
      <c r="CP3" t="s">
        <v>96</v>
      </c>
      <c r="CQ3" t="s">
        <v>97</v>
      </c>
      <c r="CR3" t="s">
        <v>98</v>
      </c>
      <c r="CS3" t="s">
        <v>99</v>
      </c>
      <c r="CT3" t="s">
        <v>100</v>
      </c>
      <c r="CU3" t="s">
        <v>101</v>
      </c>
      <c r="CV3" t="s">
        <v>102</v>
      </c>
      <c r="CW3" t="s">
        <v>103</v>
      </c>
      <c r="CX3" t="s">
        <v>104</v>
      </c>
      <c r="CY3" t="s">
        <v>105</v>
      </c>
      <c r="CZ3" t="s">
        <v>106</v>
      </c>
      <c r="DA3" t="s">
        <v>107</v>
      </c>
      <c r="DB3" t="s">
        <v>108</v>
      </c>
    </row>
    <row r="4" spans="1:106">
      <c r="A4" t="s">
        <v>4</v>
      </c>
      <c r="B4" t="s">
        <v>109</v>
      </c>
      <c r="C4">
        <v>1366.8391139999999</v>
      </c>
      <c r="D4">
        <v>1465.440345</v>
      </c>
      <c r="E4">
        <v>1517.881656</v>
      </c>
      <c r="F4">
        <v>1614.6340540000001</v>
      </c>
      <c r="G4">
        <v>1457.1067720000001</v>
      </c>
      <c r="H4">
        <v>1527.6379480000001</v>
      </c>
      <c r="I4">
        <v>1489.5081089999999</v>
      </c>
      <c r="J4">
        <v>1385.2574789999999</v>
      </c>
      <c r="K4">
        <v>1536.3938039999998</v>
      </c>
      <c r="L4">
        <v>1429.8548529999998</v>
      </c>
      <c r="M4">
        <v>1368.309013</v>
      </c>
      <c r="N4">
        <v>1476.177469</v>
      </c>
      <c r="O4">
        <v>1377.461311</v>
      </c>
      <c r="P4">
        <v>1383.9576280000001</v>
      </c>
      <c r="Q4">
        <v>1461.716003</v>
      </c>
      <c r="R4">
        <v>1513.423763</v>
      </c>
      <c r="S4">
        <v>1421.616082</v>
      </c>
      <c r="T4">
        <v>1537.4104240000001</v>
      </c>
      <c r="U4">
        <v>1412.1626259999998</v>
      </c>
      <c r="V4">
        <v>1367.9726639999999</v>
      </c>
      <c r="W4">
        <v>1454.455293</v>
      </c>
      <c r="X4">
        <v>1473.379146</v>
      </c>
      <c r="Y4">
        <v>1336.723843</v>
      </c>
      <c r="Z4">
        <v>1402.818636</v>
      </c>
      <c r="AA4">
        <v>1305.9467199999999</v>
      </c>
      <c r="AB4">
        <v>1444.5517850000001</v>
      </c>
      <c r="AC4">
        <v>1489.5450310000001</v>
      </c>
      <c r="AD4">
        <v>1407.2545359999999</v>
      </c>
      <c r="AE4">
        <v>1477.263676</v>
      </c>
      <c r="AF4">
        <v>1416.581193</v>
      </c>
      <c r="AG4">
        <v>1419.7305299999998</v>
      </c>
      <c r="AH4">
        <v>1406.0265359999999</v>
      </c>
      <c r="AI4">
        <v>1397.3063139999999</v>
      </c>
      <c r="AJ4">
        <v>1419.46415</v>
      </c>
      <c r="AK4">
        <v>1535.961691</v>
      </c>
      <c r="AL4">
        <v>1449.2230089999998</v>
      </c>
      <c r="AM4">
        <v>1513.5356689999999</v>
      </c>
      <c r="AN4">
        <v>1404.609504</v>
      </c>
      <c r="AO4">
        <v>1538.539387</v>
      </c>
      <c r="AP4">
        <v>1591.6127919999999</v>
      </c>
      <c r="AQ4">
        <v>1410.5829960000001</v>
      </c>
      <c r="AR4">
        <v>1382.8728030000002</v>
      </c>
      <c r="AS4">
        <v>1333.307992</v>
      </c>
      <c r="AT4">
        <v>1305.4602930000001</v>
      </c>
      <c r="AU4">
        <v>1449.697281</v>
      </c>
      <c r="AV4">
        <v>1578.2091369999998</v>
      </c>
      <c r="AW4">
        <v>1411.078818</v>
      </c>
      <c r="AX4">
        <v>1380.5970460000001</v>
      </c>
      <c r="AY4">
        <v>1377.3038449999999</v>
      </c>
      <c r="AZ4">
        <v>1530.4843289999999</v>
      </c>
      <c r="BA4">
        <v>1547.9374969999999</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c r="CT4">
        <v>0</v>
      </c>
      <c r="CU4">
        <v>0</v>
      </c>
      <c r="CV4">
        <v>0</v>
      </c>
      <c r="CW4">
        <v>0</v>
      </c>
      <c r="CX4">
        <v>0</v>
      </c>
      <c r="CY4">
        <v>0</v>
      </c>
      <c r="CZ4">
        <v>0</v>
      </c>
      <c r="DA4">
        <v>0</v>
      </c>
      <c r="DB4">
        <v>0</v>
      </c>
    </row>
    <row r="5" spans="1:106">
      <c r="A5" t="s">
        <v>4</v>
      </c>
      <c r="B5" t="s">
        <v>110</v>
      </c>
      <c r="C5">
        <v>1343</v>
      </c>
      <c r="D5">
        <v>2697</v>
      </c>
      <c r="E5">
        <v>874</v>
      </c>
      <c r="F5">
        <v>1098</v>
      </c>
      <c r="G5">
        <v>970</v>
      </c>
      <c r="H5">
        <v>1530</v>
      </c>
      <c r="I5">
        <v>1466</v>
      </c>
      <c r="J5">
        <v>1488</v>
      </c>
      <c r="K5">
        <v>1611</v>
      </c>
      <c r="L5">
        <v>1664</v>
      </c>
      <c r="M5">
        <v>1120</v>
      </c>
      <c r="N5">
        <v>1444</v>
      </c>
      <c r="O5">
        <v>1152</v>
      </c>
      <c r="P5">
        <v>1550</v>
      </c>
      <c r="Q5">
        <v>1404</v>
      </c>
      <c r="R5">
        <v>1512</v>
      </c>
      <c r="S5">
        <v>1252</v>
      </c>
      <c r="T5">
        <v>1620</v>
      </c>
      <c r="U5">
        <v>1394</v>
      </c>
      <c r="V5">
        <v>1561</v>
      </c>
      <c r="W5">
        <v>1824</v>
      </c>
      <c r="X5">
        <v>1230</v>
      </c>
      <c r="Y5">
        <v>1142</v>
      </c>
      <c r="Z5">
        <v>1726</v>
      </c>
      <c r="AA5">
        <v>1183</v>
      </c>
      <c r="AB5">
        <v>1613</v>
      </c>
      <c r="AC5">
        <v>1576</v>
      </c>
      <c r="AD5">
        <v>1433</v>
      </c>
      <c r="AE5">
        <v>1553</v>
      </c>
      <c r="AF5">
        <v>1381</v>
      </c>
      <c r="AG5">
        <v>1184</v>
      </c>
      <c r="AH5">
        <v>1621</v>
      </c>
      <c r="AI5">
        <v>1266</v>
      </c>
      <c r="AJ5">
        <v>1385</v>
      </c>
      <c r="AK5">
        <v>1554</v>
      </c>
      <c r="AL5">
        <v>1353</v>
      </c>
      <c r="AM5">
        <v>1541</v>
      </c>
      <c r="AN5">
        <v>1504</v>
      </c>
      <c r="AO5">
        <v>1640</v>
      </c>
      <c r="AP5">
        <v>1521</v>
      </c>
      <c r="AQ5">
        <v>1406</v>
      </c>
      <c r="AR5">
        <v>1203</v>
      </c>
      <c r="AS5">
        <v>1444</v>
      </c>
      <c r="AT5">
        <v>1396</v>
      </c>
      <c r="AU5">
        <v>1550</v>
      </c>
      <c r="AV5">
        <v>1512</v>
      </c>
      <c r="AW5">
        <v>1377</v>
      </c>
      <c r="AX5">
        <v>1374</v>
      </c>
      <c r="AY5">
        <v>1704</v>
      </c>
      <c r="AZ5">
        <v>1567</v>
      </c>
      <c r="BA5">
        <v>1603</v>
      </c>
      <c r="BB5">
        <v>1595</v>
      </c>
      <c r="BC5">
        <v>1390</v>
      </c>
      <c r="BD5">
        <v>1544</v>
      </c>
      <c r="BE5">
        <v>1477</v>
      </c>
      <c r="BF5">
        <v>1778</v>
      </c>
      <c r="BG5">
        <v>1472</v>
      </c>
      <c r="BH5">
        <v>1402</v>
      </c>
      <c r="BI5">
        <v>1244</v>
      </c>
      <c r="BJ5">
        <v>1463</v>
      </c>
      <c r="BK5">
        <v>1294</v>
      </c>
      <c r="BL5">
        <v>1363</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c r="CT5">
        <v>0</v>
      </c>
      <c r="CU5">
        <v>0</v>
      </c>
      <c r="CV5">
        <v>0</v>
      </c>
      <c r="CW5">
        <v>0</v>
      </c>
      <c r="CX5">
        <v>0</v>
      </c>
      <c r="CY5">
        <v>0</v>
      </c>
      <c r="CZ5">
        <v>0</v>
      </c>
      <c r="DA5">
        <v>0</v>
      </c>
      <c r="DB5">
        <v>0</v>
      </c>
    </row>
    <row r="6" spans="1:106">
      <c r="A6" t="s">
        <v>4</v>
      </c>
      <c r="B6" t="s">
        <v>111</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c r="CT6">
        <v>0</v>
      </c>
      <c r="CU6">
        <v>0</v>
      </c>
      <c r="CV6">
        <v>0</v>
      </c>
      <c r="CW6">
        <v>0</v>
      </c>
      <c r="CX6">
        <v>0</v>
      </c>
      <c r="CY6">
        <v>0</v>
      </c>
      <c r="CZ6">
        <v>0</v>
      </c>
      <c r="DA6">
        <v>0</v>
      </c>
      <c r="DB6">
        <v>0</v>
      </c>
    </row>
    <row r="7" spans="1:106">
      <c r="A7" t="s">
        <v>4</v>
      </c>
      <c r="B7" t="s">
        <v>112</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c r="AX7">
        <v>0</v>
      </c>
      <c r="AY7">
        <v>0</v>
      </c>
      <c r="AZ7">
        <v>0</v>
      </c>
      <c r="BA7">
        <v>0</v>
      </c>
      <c r="BB7">
        <v>1439.7890379999999</v>
      </c>
      <c r="BC7">
        <v>1319.095926</v>
      </c>
      <c r="BD7">
        <v>1393.2598480000001</v>
      </c>
      <c r="BE7">
        <v>1437.8724010000001</v>
      </c>
      <c r="BF7">
        <v>1528.204714</v>
      </c>
      <c r="BG7">
        <v>1503.032907</v>
      </c>
      <c r="BH7">
        <v>1545.496578</v>
      </c>
      <c r="BI7">
        <v>1364.5581549999999</v>
      </c>
      <c r="BJ7">
        <v>1389.7284100000002</v>
      </c>
      <c r="BK7">
        <v>1400.8841170000001</v>
      </c>
      <c r="BL7">
        <v>1525.8272550000002</v>
      </c>
      <c r="BM7">
        <v>1493.1970780000001</v>
      </c>
      <c r="BN7">
        <v>1575.528847</v>
      </c>
      <c r="BO7">
        <v>1375.293322</v>
      </c>
      <c r="BP7">
        <v>1412.1994979999999</v>
      </c>
      <c r="BQ7">
        <v>1469.533621</v>
      </c>
      <c r="BR7">
        <v>1343.7327170000001</v>
      </c>
      <c r="BS7">
        <v>1462.0935709999999</v>
      </c>
      <c r="BT7">
        <v>1516.8782639999999</v>
      </c>
      <c r="BU7">
        <v>1568.903575</v>
      </c>
      <c r="BV7">
        <v>1421.8603330000001</v>
      </c>
      <c r="BW7">
        <v>1558.687596</v>
      </c>
      <c r="BX7">
        <v>1422.0042920000001</v>
      </c>
      <c r="BY7">
        <v>1363.454127</v>
      </c>
      <c r="BZ7">
        <v>1367.618641</v>
      </c>
      <c r="CA7">
        <v>1536.4939319999999</v>
      </c>
      <c r="CB7">
        <v>1348.1660320000001</v>
      </c>
      <c r="CC7">
        <v>1496.8945840000001</v>
      </c>
      <c r="CD7">
        <v>1354.676052</v>
      </c>
      <c r="CE7">
        <v>1365.3363979999999</v>
      </c>
      <c r="CF7">
        <v>1391.3001960000001</v>
      </c>
      <c r="CG7">
        <v>1363.8030699999999</v>
      </c>
      <c r="CH7">
        <v>1425.056517</v>
      </c>
      <c r="CI7">
        <v>1540.1760979999999</v>
      </c>
      <c r="CJ7">
        <v>1521.618559</v>
      </c>
      <c r="CK7">
        <v>1419.2526780000001</v>
      </c>
      <c r="CL7">
        <v>1384.7838919999999</v>
      </c>
      <c r="CM7">
        <v>1436.2491110000001</v>
      </c>
      <c r="CN7">
        <v>1495.0965160000001</v>
      </c>
      <c r="CO7">
        <v>1627.753976</v>
      </c>
      <c r="CP7">
        <v>1447.329303</v>
      </c>
      <c r="CQ7">
        <v>1444.2905089999999</v>
      </c>
      <c r="CR7">
        <v>1626.2441600000002</v>
      </c>
      <c r="CS7">
        <v>1367.885583</v>
      </c>
      <c r="CT7">
        <v>1504.3994109999999</v>
      </c>
      <c r="CU7">
        <v>1369.8392309999999</v>
      </c>
      <c r="CV7">
        <v>1426.2561850000002</v>
      </c>
      <c r="CW7">
        <v>1511.746081</v>
      </c>
      <c r="CX7">
        <v>1405.4654640000001</v>
      </c>
      <c r="CY7">
        <v>1528.135888</v>
      </c>
      <c r="CZ7">
        <v>1437.312756</v>
      </c>
      <c r="DA7">
        <v>1442.9474009999999</v>
      </c>
      <c r="DB7">
        <v>0</v>
      </c>
    </row>
    <row r="21" spans="1:3">
      <c r="A21" t="s">
        <v>113</v>
      </c>
    </row>
    <row r="22" spans="1:3">
      <c r="A22" t="s">
        <v>114</v>
      </c>
      <c r="B22" t="s">
        <v>115</v>
      </c>
    </row>
    <row r="23" spans="1:3">
      <c r="A23" t="s">
        <v>116</v>
      </c>
      <c r="B23" t="s">
        <v>117</v>
      </c>
    </row>
    <row r="24" spans="1:3">
      <c r="A24" t="s">
        <v>118</v>
      </c>
      <c r="B24" t="s">
        <v>119</v>
      </c>
    </row>
    <row r="25" spans="1:3">
      <c r="A25" t="s">
        <v>120</v>
      </c>
      <c r="B25" t="s">
        <v>121</v>
      </c>
    </row>
    <row r="26" spans="1:3">
      <c r="A26" t="s">
        <v>122</v>
      </c>
      <c r="B26" t="s">
        <v>123</v>
      </c>
    </row>
    <row r="27" spans="1:3">
      <c r="A27" t="s">
        <v>124</v>
      </c>
      <c r="B27" t="s">
        <v>125</v>
      </c>
    </row>
    <row r="28" spans="1:3" ht="409.5">
      <c r="A28" t="s">
        <v>126</v>
      </c>
      <c r="B28" s="60" t="s">
        <v>127</v>
      </c>
      <c r="C28" s="61" t="s">
        <v>128</v>
      </c>
    </row>
    <row r="29" spans="1:3" ht="409.5">
      <c r="A29" t="s">
        <v>129</v>
      </c>
      <c r="B29" s="60" t="s">
        <v>130</v>
      </c>
      <c r="C29" s="60" t="s">
        <v>131</v>
      </c>
    </row>
    <row r="30" spans="1:3">
      <c r="A30" t="s">
        <v>132</v>
      </c>
      <c r="B30" t="s">
        <v>119</v>
      </c>
    </row>
    <row r="31" spans="1:3">
      <c r="A31" t="s">
        <v>133</v>
      </c>
      <c r="B31" t="s">
        <v>119</v>
      </c>
    </row>
    <row r="32" spans="1:3">
      <c r="A32" t="s">
        <v>134</v>
      </c>
      <c r="B32" t="s">
        <v>119</v>
      </c>
    </row>
    <row r="33" spans="1:2">
      <c r="A33" t="s">
        <v>135</v>
      </c>
      <c r="B33" t="s">
        <v>136</v>
      </c>
    </row>
    <row r="34" spans="1:2">
      <c r="A34" t="s">
        <v>137</v>
      </c>
      <c r="B34" t="s">
        <v>138</v>
      </c>
    </row>
    <row r="50" spans="1:106" ht="409.5">
      <c r="A50" t="s">
        <v>139</v>
      </c>
      <c r="B50" s="60" t="s">
        <v>140</v>
      </c>
    </row>
    <row r="51" spans="1:106">
      <c r="A51" t="s">
        <v>141</v>
      </c>
    </row>
    <row r="52" spans="1:106">
      <c r="A52" t="s">
        <v>142</v>
      </c>
      <c r="C52" t="s">
        <v>5</v>
      </c>
      <c r="D52" t="s">
        <v>6</v>
      </c>
      <c r="E52" t="s">
        <v>7</v>
      </c>
      <c r="F52" t="s">
        <v>8</v>
      </c>
      <c r="G52" t="s">
        <v>9</v>
      </c>
      <c r="H52" t="s">
        <v>10</v>
      </c>
      <c r="I52" t="s">
        <v>11</v>
      </c>
      <c r="J52" t="s">
        <v>12</v>
      </c>
      <c r="K52" t="s">
        <v>13</v>
      </c>
      <c r="L52" t="s">
        <v>14</v>
      </c>
      <c r="M52" t="s">
        <v>15</v>
      </c>
      <c r="N52" t="s">
        <v>16</v>
      </c>
      <c r="O52" t="s">
        <v>17</v>
      </c>
      <c r="P52" t="s">
        <v>18</v>
      </c>
      <c r="Q52" t="s">
        <v>19</v>
      </c>
      <c r="R52" t="s">
        <v>20</v>
      </c>
      <c r="S52" t="s">
        <v>21</v>
      </c>
      <c r="T52" t="s">
        <v>22</v>
      </c>
      <c r="U52" t="s">
        <v>23</v>
      </c>
      <c r="V52" t="s">
        <v>24</v>
      </c>
      <c r="W52" t="s">
        <v>25</v>
      </c>
      <c r="X52" t="s">
        <v>26</v>
      </c>
      <c r="Y52" t="s">
        <v>27</v>
      </c>
      <c r="Z52" t="s">
        <v>28</v>
      </c>
      <c r="AA52" t="s">
        <v>29</v>
      </c>
      <c r="AB52" t="s">
        <v>30</v>
      </c>
      <c r="AC52" t="s">
        <v>31</v>
      </c>
      <c r="AD52" t="s">
        <v>32</v>
      </c>
      <c r="AE52" t="s">
        <v>33</v>
      </c>
      <c r="AF52" t="s">
        <v>34</v>
      </c>
      <c r="AG52" t="s">
        <v>35</v>
      </c>
      <c r="AH52" t="s">
        <v>36</v>
      </c>
      <c r="AI52" t="s">
        <v>37</v>
      </c>
      <c r="AJ52" t="s">
        <v>38</v>
      </c>
      <c r="AK52" t="s">
        <v>39</v>
      </c>
      <c r="AL52" t="s">
        <v>40</v>
      </c>
      <c r="AM52" t="s">
        <v>41</v>
      </c>
      <c r="AN52" t="s">
        <v>42</v>
      </c>
      <c r="AO52" t="s">
        <v>43</v>
      </c>
      <c r="AP52" t="s">
        <v>44</v>
      </c>
      <c r="AQ52" t="s">
        <v>45</v>
      </c>
      <c r="AR52" t="s">
        <v>46</v>
      </c>
      <c r="AS52" t="s">
        <v>47</v>
      </c>
      <c r="AT52" t="s">
        <v>48</v>
      </c>
      <c r="AU52" t="s">
        <v>49</v>
      </c>
      <c r="AV52" t="s">
        <v>50</v>
      </c>
      <c r="AW52" t="s">
        <v>51</v>
      </c>
      <c r="AX52" t="s">
        <v>52</v>
      </c>
      <c r="AY52" t="s">
        <v>53</v>
      </c>
      <c r="AZ52" t="s">
        <v>54</v>
      </c>
      <c r="BA52" t="s">
        <v>55</v>
      </c>
      <c r="BB52" t="s">
        <v>56</v>
      </c>
      <c r="BC52" t="s">
        <v>57</v>
      </c>
      <c r="BD52" t="s">
        <v>58</v>
      </c>
      <c r="BE52" t="s">
        <v>59</v>
      </c>
      <c r="BF52" t="s">
        <v>60</v>
      </c>
      <c r="BG52" t="s">
        <v>61</v>
      </c>
      <c r="BH52" t="s">
        <v>62</v>
      </c>
      <c r="BI52" t="s">
        <v>63</v>
      </c>
      <c r="BJ52" t="s">
        <v>64</v>
      </c>
      <c r="BK52" t="s">
        <v>65</v>
      </c>
      <c r="BL52" t="s">
        <v>66</v>
      </c>
      <c r="BM52" t="s">
        <v>67</v>
      </c>
      <c r="BN52" t="s">
        <v>68</v>
      </c>
      <c r="BO52" t="s">
        <v>69</v>
      </c>
      <c r="BP52" t="s">
        <v>70</v>
      </c>
      <c r="BQ52" t="s">
        <v>71</v>
      </c>
      <c r="BR52" t="s">
        <v>72</v>
      </c>
      <c r="BS52" t="s">
        <v>73</v>
      </c>
      <c r="BT52" t="s">
        <v>74</v>
      </c>
      <c r="BU52" t="s">
        <v>75</v>
      </c>
      <c r="BV52" t="s">
        <v>76</v>
      </c>
      <c r="BW52" t="s">
        <v>77</v>
      </c>
      <c r="BX52" t="s">
        <v>78</v>
      </c>
      <c r="BY52" t="s">
        <v>79</v>
      </c>
      <c r="BZ52" t="s">
        <v>80</v>
      </c>
      <c r="CA52" t="s">
        <v>81</v>
      </c>
      <c r="CB52" t="s">
        <v>82</v>
      </c>
      <c r="CC52" t="s">
        <v>83</v>
      </c>
      <c r="CD52" t="s">
        <v>84</v>
      </c>
      <c r="CE52" t="s">
        <v>85</v>
      </c>
      <c r="CF52" t="s">
        <v>86</v>
      </c>
      <c r="CG52" t="s">
        <v>87</v>
      </c>
      <c r="CH52" t="s">
        <v>88</v>
      </c>
      <c r="CI52" t="s">
        <v>89</v>
      </c>
      <c r="CJ52" t="s">
        <v>90</v>
      </c>
      <c r="CK52" t="s">
        <v>91</v>
      </c>
      <c r="CL52" t="s">
        <v>92</v>
      </c>
      <c r="CM52" t="s">
        <v>93</v>
      </c>
      <c r="CN52" t="s">
        <v>94</v>
      </c>
      <c r="CO52" t="s">
        <v>95</v>
      </c>
      <c r="CP52" t="s">
        <v>96</v>
      </c>
      <c r="CQ52" t="s">
        <v>97</v>
      </c>
      <c r="CR52" t="s">
        <v>98</v>
      </c>
      <c r="CS52" t="s">
        <v>99</v>
      </c>
      <c r="CT52" t="s">
        <v>100</v>
      </c>
      <c r="CU52" t="s">
        <v>101</v>
      </c>
      <c r="CV52" t="s">
        <v>102</v>
      </c>
      <c r="CW52" t="s">
        <v>103</v>
      </c>
      <c r="CX52" t="s">
        <v>104</v>
      </c>
      <c r="CY52" t="s">
        <v>105</v>
      </c>
      <c r="CZ52" t="s">
        <v>106</v>
      </c>
      <c r="DA52" t="s">
        <v>107</v>
      </c>
      <c r="DB52" t="s">
        <v>108</v>
      </c>
    </row>
    <row r="53" spans="1:106">
      <c r="A53" t="s">
        <v>142</v>
      </c>
      <c r="B53" t="s">
        <v>110</v>
      </c>
      <c r="C53">
        <v>679</v>
      </c>
      <c r="D53">
        <v>627</v>
      </c>
      <c r="E53">
        <v>736</v>
      </c>
      <c r="F53">
        <v>756</v>
      </c>
      <c r="G53">
        <v>723</v>
      </c>
      <c r="H53">
        <v>520</v>
      </c>
      <c r="I53">
        <v>702</v>
      </c>
      <c r="J53">
        <v>900</v>
      </c>
      <c r="K53">
        <v>1000</v>
      </c>
      <c r="L53">
        <v>900</v>
      </c>
      <c r="M53">
        <v>825</v>
      </c>
      <c r="N53">
        <v>805</v>
      </c>
      <c r="O53">
        <v>732</v>
      </c>
      <c r="P53">
        <v>692</v>
      </c>
      <c r="Q53">
        <v>689</v>
      </c>
      <c r="R53">
        <v>741</v>
      </c>
      <c r="S53">
        <v>699</v>
      </c>
      <c r="T53">
        <v>811</v>
      </c>
      <c r="U53">
        <v>628</v>
      </c>
      <c r="V53">
        <v>681</v>
      </c>
      <c r="W53">
        <v>792</v>
      </c>
      <c r="X53">
        <v>1200</v>
      </c>
      <c r="Y53">
        <v>1400</v>
      </c>
      <c r="Z53">
        <v>1300</v>
      </c>
      <c r="AA53">
        <v>679</v>
      </c>
      <c r="AB53">
        <v>709</v>
      </c>
      <c r="AC53">
        <v>681</v>
      </c>
      <c r="AD53">
        <v>565</v>
      </c>
      <c r="AE53">
        <v>725</v>
      </c>
      <c r="AF53">
        <v>628</v>
      </c>
      <c r="AG53">
        <v>1100</v>
      </c>
      <c r="AH53">
        <v>1300</v>
      </c>
      <c r="AI53">
        <v>1500</v>
      </c>
      <c r="AJ53">
        <v>200</v>
      </c>
      <c r="AK53">
        <v>500</v>
      </c>
      <c r="AL53">
        <v>619</v>
      </c>
      <c r="AM53">
        <v>820</v>
      </c>
      <c r="AN53">
        <v>815</v>
      </c>
      <c r="AO53">
        <v>780</v>
      </c>
      <c r="AP53">
        <v>690</v>
      </c>
      <c r="AQ53">
        <v>766</v>
      </c>
      <c r="AR53">
        <v>603</v>
      </c>
      <c r="AS53">
        <v>705</v>
      </c>
      <c r="AT53">
        <v>668</v>
      </c>
      <c r="AU53">
        <v>613</v>
      </c>
      <c r="AV53">
        <v>732</v>
      </c>
      <c r="AW53">
        <v>554</v>
      </c>
      <c r="AX53">
        <v>641</v>
      </c>
      <c r="AY53">
        <v>900</v>
      </c>
      <c r="AZ53">
        <v>1200</v>
      </c>
      <c r="BA53">
        <v>1400</v>
      </c>
      <c r="BB53">
        <v>350</v>
      </c>
      <c r="BC53">
        <v>450</v>
      </c>
      <c r="BD53">
        <v>601</v>
      </c>
      <c r="BE53">
        <v>573</v>
      </c>
      <c r="BF53">
        <v>683</v>
      </c>
      <c r="BG53">
        <v>765</v>
      </c>
      <c r="BH53">
        <v>774</v>
      </c>
      <c r="BI53">
        <v>753</v>
      </c>
      <c r="BJ53">
        <v>785</v>
      </c>
      <c r="BK53">
        <v>800</v>
      </c>
      <c r="BL53">
        <v>600</v>
      </c>
      <c r="BM53">
        <v>500</v>
      </c>
      <c r="BN53">
        <v>0</v>
      </c>
      <c r="BO53">
        <v>0</v>
      </c>
      <c r="BP53">
        <v>0</v>
      </c>
      <c r="BQ53">
        <v>0</v>
      </c>
      <c r="BR53">
        <v>0</v>
      </c>
      <c r="BS53">
        <v>0</v>
      </c>
      <c r="BT53">
        <v>0</v>
      </c>
      <c r="BU53">
        <v>0</v>
      </c>
      <c r="BV53">
        <v>0</v>
      </c>
      <c r="BW53">
        <v>0</v>
      </c>
      <c r="BX53">
        <v>0</v>
      </c>
      <c r="BY53">
        <v>0</v>
      </c>
      <c r="BZ53">
        <v>0</v>
      </c>
      <c r="CA53">
        <v>0</v>
      </c>
      <c r="CB53">
        <v>0</v>
      </c>
      <c r="CC53">
        <v>0</v>
      </c>
      <c r="CD53">
        <v>0</v>
      </c>
      <c r="CE53">
        <v>0</v>
      </c>
      <c r="CF53">
        <v>0</v>
      </c>
      <c r="CG53">
        <v>0</v>
      </c>
      <c r="CH53">
        <v>0</v>
      </c>
      <c r="CI53">
        <v>0</v>
      </c>
      <c r="CJ53">
        <v>0</v>
      </c>
      <c r="CK53">
        <v>0</v>
      </c>
      <c r="CL53">
        <v>0</v>
      </c>
      <c r="CM53">
        <v>0</v>
      </c>
      <c r="CN53">
        <v>0</v>
      </c>
      <c r="CO53">
        <v>0</v>
      </c>
      <c r="CP53">
        <v>0</v>
      </c>
      <c r="CQ53">
        <v>0</v>
      </c>
      <c r="CR53">
        <v>0</v>
      </c>
      <c r="CS53">
        <v>0</v>
      </c>
      <c r="CT53">
        <v>0</v>
      </c>
      <c r="CU53">
        <v>0</v>
      </c>
      <c r="CV53">
        <v>0</v>
      </c>
      <c r="CW53">
        <v>0</v>
      </c>
      <c r="CX53">
        <v>0</v>
      </c>
      <c r="CY53">
        <v>0</v>
      </c>
      <c r="CZ53">
        <v>0</v>
      </c>
      <c r="DA53">
        <v>0</v>
      </c>
      <c r="DB53">
        <v>0</v>
      </c>
    </row>
    <row r="54" spans="1:106">
      <c r="A54" t="s">
        <v>142</v>
      </c>
      <c r="B54" t="s">
        <v>143</v>
      </c>
      <c r="C54">
        <v>0</v>
      </c>
      <c r="D54">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c r="AP54">
        <v>0</v>
      </c>
      <c r="AQ54">
        <v>0</v>
      </c>
      <c r="AR54">
        <v>0</v>
      </c>
      <c r="AS54">
        <v>0</v>
      </c>
      <c r="AT54">
        <v>0</v>
      </c>
      <c r="AU54">
        <v>0</v>
      </c>
      <c r="AV54">
        <v>0</v>
      </c>
      <c r="AW54">
        <v>0</v>
      </c>
      <c r="AX54">
        <v>0</v>
      </c>
      <c r="AY54">
        <v>0</v>
      </c>
      <c r="AZ54">
        <v>0</v>
      </c>
      <c r="BA54">
        <v>0</v>
      </c>
      <c r="BB54">
        <v>0</v>
      </c>
      <c r="BC54">
        <v>0</v>
      </c>
      <c r="BD54">
        <v>0</v>
      </c>
      <c r="BE54">
        <v>0</v>
      </c>
      <c r="BF54">
        <v>0</v>
      </c>
      <c r="BG54">
        <v>0</v>
      </c>
      <c r="BH54">
        <v>0</v>
      </c>
      <c r="BI54">
        <v>0</v>
      </c>
      <c r="BJ54">
        <v>0</v>
      </c>
      <c r="BK54">
        <v>0</v>
      </c>
      <c r="BL54">
        <v>0</v>
      </c>
      <c r="BM54">
        <v>0</v>
      </c>
      <c r="BN54">
        <v>0</v>
      </c>
      <c r="BO54">
        <v>0</v>
      </c>
      <c r="BP54">
        <v>0</v>
      </c>
      <c r="BQ54">
        <v>0</v>
      </c>
      <c r="BR54">
        <v>0</v>
      </c>
      <c r="BS54">
        <v>0</v>
      </c>
      <c r="BT54">
        <v>0</v>
      </c>
      <c r="BU54">
        <v>0</v>
      </c>
      <c r="BV54">
        <v>0</v>
      </c>
      <c r="BW54">
        <v>0</v>
      </c>
      <c r="BX54">
        <v>0</v>
      </c>
      <c r="BY54">
        <v>0</v>
      </c>
      <c r="BZ54">
        <v>0</v>
      </c>
      <c r="CA54">
        <v>0</v>
      </c>
      <c r="CB54">
        <v>0</v>
      </c>
      <c r="CC54">
        <v>0</v>
      </c>
      <c r="CD54">
        <v>0</v>
      </c>
      <c r="CE54">
        <v>0</v>
      </c>
      <c r="CF54">
        <v>0</v>
      </c>
      <c r="CG54">
        <v>0</v>
      </c>
      <c r="CH54">
        <v>0</v>
      </c>
      <c r="CI54">
        <v>0</v>
      </c>
      <c r="CJ54">
        <v>0</v>
      </c>
      <c r="CK54">
        <v>0</v>
      </c>
      <c r="CL54">
        <v>0</v>
      </c>
      <c r="CM54">
        <v>0</v>
      </c>
      <c r="CN54">
        <v>0</v>
      </c>
      <c r="CO54">
        <v>0</v>
      </c>
      <c r="CP54">
        <v>0</v>
      </c>
      <c r="CQ54">
        <v>0</v>
      </c>
      <c r="CR54">
        <v>0</v>
      </c>
      <c r="CS54">
        <v>0</v>
      </c>
      <c r="CT54">
        <v>0</v>
      </c>
      <c r="CU54">
        <v>0</v>
      </c>
      <c r="CV54">
        <v>0</v>
      </c>
      <c r="CW54">
        <v>0</v>
      </c>
      <c r="CX54">
        <v>0</v>
      </c>
      <c r="CY54">
        <v>0</v>
      </c>
      <c r="CZ54">
        <v>0</v>
      </c>
      <c r="DA54">
        <v>0</v>
      </c>
      <c r="DB54">
        <v>0</v>
      </c>
    </row>
    <row r="55" spans="1:106">
      <c r="A55" t="s">
        <v>142</v>
      </c>
      <c r="B55" t="s">
        <v>109</v>
      </c>
      <c r="C55">
        <v>682.91736100000003</v>
      </c>
      <c r="D55">
        <v>616.544128</v>
      </c>
      <c r="E55">
        <v>684.48899200000005</v>
      </c>
      <c r="F55">
        <v>711.91968399999996</v>
      </c>
      <c r="G55">
        <v>697.904898</v>
      </c>
      <c r="H55">
        <v>510.93237399999998</v>
      </c>
      <c r="I55">
        <v>658.80365500000005</v>
      </c>
      <c r="J55">
        <v>896.42873699999996</v>
      </c>
      <c r="K55">
        <v>1051.552285</v>
      </c>
      <c r="L55">
        <v>922.51408100000003</v>
      </c>
      <c r="M55">
        <v>857.29735300000004</v>
      </c>
      <c r="N55">
        <v>813.55330700000002</v>
      </c>
      <c r="O55">
        <v>694.59995900000001</v>
      </c>
      <c r="P55">
        <v>669.83415000000002</v>
      </c>
      <c r="Q55">
        <v>689.97484799999995</v>
      </c>
      <c r="R55">
        <v>703.53328599999998</v>
      </c>
      <c r="S55">
        <v>707.80734700000005</v>
      </c>
      <c r="T55">
        <v>730.43680199999994</v>
      </c>
      <c r="U55">
        <v>662.05902900000001</v>
      </c>
      <c r="V55">
        <v>675.99141699999996</v>
      </c>
      <c r="W55">
        <v>817.78482799999995</v>
      </c>
      <c r="X55">
        <v>1185.6541279999999</v>
      </c>
      <c r="Y55">
        <v>1245.2290820000001</v>
      </c>
      <c r="Z55">
        <v>1187.1813070000001</v>
      </c>
      <c r="AA55">
        <v>722.88534500000003</v>
      </c>
      <c r="AB55">
        <v>723.92189800000006</v>
      </c>
      <c r="AC55">
        <v>681.09519799999998</v>
      </c>
      <c r="AD55">
        <v>617.20335599999999</v>
      </c>
      <c r="AE55">
        <v>701.41082100000006</v>
      </c>
      <c r="AF55">
        <v>665.66224699999998</v>
      </c>
      <c r="AG55">
        <v>987.20148600000005</v>
      </c>
      <c r="AH55">
        <v>1272.2192010000001</v>
      </c>
      <c r="AI55">
        <v>493.36386199999998</v>
      </c>
      <c r="AJ55">
        <v>325.12759399999999</v>
      </c>
      <c r="AK55">
        <v>533.439662</v>
      </c>
      <c r="AL55">
        <v>664.29287199999999</v>
      </c>
      <c r="AM55">
        <v>815.00793099999999</v>
      </c>
      <c r="AN55">
        <v>834.75660500000004</v>
      </c>
      <c r="AO55">
        <v>716.20503699999995</v>
      </c>
      <c r="AP55">
        <v>642.42900799999995</v>
      </c>
      <c r="AQ55">
        <v>679.04957000000002</v>
      </c>
      <c r="AR55">
        <v>655.45833000000005</v>
      </c>
      <c r="AS55">
        <v>674.81181700000002</v>
      </c>
      <c r="AT55">
        <v>663.10979599999996</v>
      </c>
      <c r="AU55">
        <v>637.20576900000003</v>
      </c>
      <c r="AV55">
        <v>675.18389100000002</v>
      </c>
      <c r="AW55">
        <v>565.70654000000002</v>
      </c>
      <c r="AX55">
        <v>648.98464300000001</v>
      </c>
      <c r="AY55">
        <v>895.93229699999995</v>
      </c>
      <c r="AZ55">
        <v>1220.0899320000001</v>
      </c>
      <c r="BA55">
        <v>582.54770099999996</v>
      </c>
      <c r="BB55">
        <v>0</v>
      </c>
      <c r="BC55">
        <v>0</v>
      </c>
      <c r="BD55">
        <v>0</v>
      </c>
      <c r="BE55">
        <v>0</v>
      </c>
      <c r="BF55">
        <v>0</v>
      </c>
      <c r="BG55">
        <v>0</v>
      </c>
      <c r="BH55">
        <v>0</v>
      </c>
      <c r="BI55">
        <v>0</v>
      </c>
      <c r="BJ55">
        <v>0</v>
      </c>
      <c r="BK55">
        <v>0</v>
      </c>
      <c r="BL55">
        <v>0</v>
      </c>
      <c r="BM55">
        <v>0</v>
      </c>
      <c r="BN55">
        <v>0</v>
      </c>
      <c r="BO55">
        <v>0</v>
      </c>
      <c r="BP55">
        <v>0</v>
      </c>
      <c r="BQ55">
        <v>0</v>
      </c>
      <c r="BR55">
        <v>0</v>
      </c>
      <c r="BS55">
        <v>0</v>
      </c>
      <c r="BT55">
        <v>0</v>
      </c>
      <c r="BU55">
        <v>0</v>
      </c>
      <c r="BV55">
        <v>0</v>
      </c>
      <c r="BW55">
        <v>0</v>
      </c>
      <c r="BX55">
        <v>0</v>
      </c>
      <c r="BY55">
        <v>0</v>
      </c>
      <c r="BZ55">
        <v>0</v>
      </c>
      <c r="CA55">
        <v>0</v>
      </c>
      <c r="CB55">
        <v>0</v>
      </c>
      <c r="CC55">
        <v>0</v>
      </c>
      <c r="CD55">
        <v>0</v>
      </c>
      <c r="CE55">
        <v>0</v>
      </c>
      <c r="CF55">
        <v>0</v>
      </c>
      <c r="CG55">
        <v>0</v>
      </c>
      <c r="CH55">
        <v>0</v>
      </c>
      <c r="CI55">
        <v>0</v>
      </c>
      <c r="CJ55">
        <v>0</v>
      </c>
      <c r="CK55">
        <v>0</v>
      </c>
      <c r="CL55">
        <v>0</v>
      </c>
      <c r="CM55">
        <v>0</v>
      </c>
      <c r="CN55">
        <v>0</v>
      </c>
      <c r="CO55">
        <v>0</v>
      </c>
      <c r="CP55">
        <v>0</v>
      </c>
      <c r="CQ55">
        <v>0</v>
      </c>
      <c r="CR55">
        <v>0</v>
      </c>
      <c r="CS55">
        <v>0</v>
      </c>
      <c r="CT55">
        <v>0</v>
      </c>
      <c r="CU55">
        <v>0</v>
      </c>
      <c r="CV55">
        <v>0</v>
      </c>
      <c r="CW55">
        <v>0</v>
      </c>
      <c r="CX55">
        <v>0</v>
      </c>
      <c r="CY55">
        <v>0</v>
      </c>
      <c r="CZ55">
        <v>0</v>
      </c>
      <c r="DA55">
        <v>0</v>
      </c>
      <c r="DB55">
        <v>0</v>
      </c>
    </row>
    <row r="56" spans="1:106">
      <c r="A56" t="s">
        <v>142</v>
      </c>
      <c r="B56" t="s">
        <v>144</v>
      </c>
      <c r="C56">
        <v>0</v>
      </c>
      <c r="D56">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c r="AP56">
        <v>0</v>
      </c>
      <c r="AQ56">
        <v>0</v>
      </c>
      <c r="AR56">
        <v>0</v>
      </c>
      <c r="AS56">
        <v>0</v>
      </c>
      <c r="AT56">
        <v>0</v>
      </c>
      <c r="AU56">
        <v>0</v>
      </c>
      <c r="AV56">
        <v>0</v>
      </c>
      <c r="AW56">
        <v>0</v>
      </c>
      <c r="AX56">
        <v>0</v>
      </c>
      <c r="AY56">
        <v>0</v>
      </c>
      <c r="AZ56">
        <v>0</v>
      </c>
      <c r="BA56">
        <v>0</v>
      </c>
      <c r="BB56">
        <v>0</v>
      </c>
      <c r="BC56">
        <v>0</v>
      </c>
      <c r="BD56">
        <v>0</v>
      </c>
      <c r="BE56">
        <v>0</v>
      </c>
      <c r="BF56">
        <v>0</v>
      </c>
      <c r="BG56">
        <v>0</v>
      </c>
      <c r="BH56">
        <v>0</v>
      </c>
      <c r="BI56">
        <v>0</v>
      </c>
      <c r="BJ56">
        <v>0</v>
      </c>
      <c r="BK56">
        <v>0</v>
      </c>
      <c r="BL56">
        <v>0</v>
      </c>
      <c r="BM56">
        <v>0</v>
      </c>
      <c r="BN56">
        <v>0</v>
      </c>
      <c r="BO56">
        <v>0</v>
      </c>
      <c r="BP56">
        <v>0</v>
      </c>
      <c r="BQ56">
        <v>0</v>
      </c>
      <c r="BR56">
        <v>0</v>
      </c>
      <c r="BS56">
        <v>0</v>
      </c>
      <c r="BT56">
        <v>0</v>
      </c>
      <c r="BU56">
        <v>0</v>
      </c>
      <c r="BV56">
        <v>0</v>
      </c>
      <c r="BW56">
        <v>0</v>
      </c>
      <c r="BX56">
        <v>0</v>
      </c>
      <c r="BY56">
        <v>0</v>
      </c>
      <c r="BZ56">
        <v>0</v>
      </c>
      <c r="CA56">
        <v>0</v>
      </c>
      <c r="CB56">
        <v>0</v>
      </c>
      <c r="CC56">
        <v>0</v>
      </c>
      <c r="CD56">
        <v>0</v>
      </c>
      <c r="CE56">
        <v>0</v>
      </c>
      <c r="CF56">
        <v>0</v>
      </c>
      <c r="CG56">
        <v>0</v>
      </c>
      <c r="CH56">
        <v>0</v>
      </c>
      <c r="CI56">
        <v>0</v>
      </c>
      <c r="CJ56">
        <v>0</v>
      </c>
      <c r="CK56">
        <v>0</v>
      </c>
      <c r="CL56">
        <v>0</v>
      </c>
      <c r="CM56">
        <v>0</v>
      </c>
      <c r="CN56">
        <v>0</v>
      </c>
      <c r="CO56">
        <v>0</v>
      </c>
      <c r="CP56">
        <v>0</v>
      </c>
      <c r="CQ56">
        <v>0</v>
      </c>
      <c r="CR56">
        <v>0</v>
      </c>
      <c r="CS56">
        <v>0</v>
      </c>
      <c r="CT56">
        <v>0</v>
      </c>
      <c r="CU56">
        <v>0</v>
      </c>
      <c r="CV56">
        <v>0</v>
      </c>
      <c r="CW56">
        <v>0</v>
      </c>
      <c r="CX56">
        <v>0</v>
      </c>
      <c r="CY56">
        <v>0</v>
      </c>
      <c r="CZ56">
        <v>0</v>
      </c>
      <c r="DA56">
        <v>0</v>
      </c>
      <c r="DB56">
        <v>0</v>
      </c>
    </row>
    <row r="57" spans="1:106">
      <c r="A57" t="s">
        <v>142</v>
      </c>
      <c r="B57" t="s">
        <v>112</v>
      </c>
      <c r="C57">
        <v>0</v>
      </c>
      <c r="D57">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c r="AP57">
        <v>0</v>
      </c>
      <c r="AQ57">
        <v>0</v>
      </c>
      <c r="AR57">
        <v>0</v>
      </c>
      <c r="AS57">
        <v>0</v>
      </c>
      <c r="AT57">
        <v>0</v>
      </c>
      <c r="AU57">
        <v>0</v>
      </c>
      <c r="AV57">
        <v>0</v>
      </c>
      <c r="AW57">
        <v>0</v>
      </c>
      <c r="AX57">
        <v>0</v>
      </c>
      <c r="AY57">
        <v>0</v>
      </c>
      <c r="AZ57">
        <v>0</v>
      </c>
      <c r="BA57">
        <v>0</v>
      </c>
      <c r="BB57">
        <v>469.35298599999999</v>
      </c>
      <c r="BC57">
        <v>489.74474700000002</v>
      </c>
      <c r="BD57">
        <v>649.48268900000005</v>
      </c>
      <c r="BE57">
        <v>635.04387499999996</v>
      </c>
      <c r="BF57">
        <v>639.00314200000003</v>
      </c>
      <c r="BG57">
        <v>667.53213300000004</v>
      </c>
      <c r="BH57">
        <v>595.45224700000006</v>
      </c>
      <c r="BI57">
        <v>594.62329099999999</v>
      </c>
      <c r="BJ57">
        <v>627.26156600000002</v>
      </c>
      <c r="BK57">
        <v>1265.3118669999999</v>
      </c>
      <c r="BL57">
        <v>766.12865599999998</v>
      </c>
      <c r="BM57">
        <v>787.38971100000003</v>
      </c>
      <c r="BN57">
        <v>750.68257400000005</v>
      </c>
      <c r="BO57">
        <v>659.53023700000006</v>
      </c>
      <c r="BP57">
        <v>708.73980400000005</v>
      </c>
      <c r="BQ57">
        <v>709.59671900000001</v>
      </c>
      <c r="BR57">
        <v>634.59356600000001</v>
      </c>
      <c r="BS57">
        <v>684.26325399999996</v>
      </c>
      <c r="BT57">
        <v>669.96334300000001</v>
      </c>
      <c r="BU57">
        <v>687.55055700000003</v>
      </c>
      <c r="BV57">
        <v>725.61092199999996</v>
      </c>
      <c r="BW57">
        <v>669.31573000000003</v>
      </c>
      <c r="BX57">
        <v>844.42392600000005</v>
      </c>
      <c r="BY57">
        <v>833.47673499999996</v>
      </c>
      <c r="BZ57">
        <v>833.80130899999995</v>
      </c>
      <c r="CA57">
        <v>759.75316999999995</v>
      </c>
      <c r="CB57">
        <v>656.30893300000002</v>
      </c>
      <c r="CC57">
        <v>688.49425900000006</v>
      </c>
      <c r="CD57">
        <v>630.52829199999996</v>
      </c>
      <c r="CE57">
        <v>640.57620499999996</v>
      </c>
      <c r="CF57">
        <v>597.45917199999997</v>
      </c>
      <c r="CG57">
        <v>789.49682800000005</v>
      </c>
      <c r="CH57">
        <v>829.57630099999994</v>
      </c>
      <c r="CI57">
        <v>706.304755</v>
      </c>
      <c r="CJ57">
        <v>528.92442600000004</v>
      </c>
      <c r="CK57">
        <v>545.77324699999997</v>
      </c>
      <c r="CL57">
        <v>535.07826699999998</v>
      </c>
      <c r="CM57">
        <v>653.04386499999998</v>
      </c>
      <c r="CN57">
        <v>662.90444400000001</v>
      </c>
      <c r="CO57">
        <v>684.73906699999998</v>
      </c>
      <c r="CP57">
        <v>673.31604300000004</v>
      </c>
      <c r="CQ57">
        <v>635.10864000000004</v>
      </c>
      <c r="CR57">
        <v>599.17706099999998</v>
      </c>
      <c r="CS57">
        <v>675.18020100000001</v>
      </c>
      <c r="CT57">
        <v>645.31183299999998</v>
      </c>
      <c r="CU57">
        <v>634.387565</v>
      </c>
      <c r="CV57">
        <v>650.61259299999995</v>
      </c>
      <c r="CW57">
        <v>619.33197600000005</v>
      </c>
      <c r="CX57">
        <v>589.88072299999999</v>
      </c>
      <c r="CY57">
        <v>564.64104499999996</v>
      </c>
      <c r="CZ57">
        <v>885.89570500000002</v>
      </c>
      <c r="DA57">
        <v>864.422192</v>
      </c>
      <c r="DB57">
        <v>0</v>
      </c>
    </row>
    <row r="58" spans="1:106">
      <c r="A58" t="s">
        <v>142</v>
      </c>
      <c r="B58" t="s">
        <v>145</v>
      </c>
      <c r="C58">
        <v>0</v>
      </c>
      <c r="D58">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c r="AP58">
        <v>0</v>
      </c>
      <c r="AQ58">
        <v>0</v>
      </c>
      <c r="AR58">
        <v>0</v>
      </c>
      <c r="AS58">
        <v>0</v>
      </c>
      <c r="AT58">
        <v>0</v>
      </c>
      <c r="AU58">
        <v>0</v>
      </c>
      <c r="AV58">
        <v>0</v>
      </c>
      <c r="AW58">
        <v>0</v>
      </c>
      <c r="AX58">
        <v>0</v>
      </c>
      <c r="AY58">
        <v>0</v>
      </c>
      <c r="AZ58">
        <v>0</v>
      </c>
      <c r="BA58">
        <v>0</v>
      </c>
      <c r="BB58">
        <v>0</v>
      </c>
      <c r="BC58">
        <v>0</v>
      </c>
      <c r="BD58">
        <v>0</v>
      </c>
      <c r="BE58">
        <v>0</v>
      </c>
      <c r="BF58">
        <v>0</v>
      </c>
      <c r="BG58">
        <v>0</v>
      </c>
      <c r="BH58">
        <v>0</v>
      </c>
      <c r="BI58">
        <v>0</v>
      </c>
      <c r="BJ58">
        <v>0</v>
      </c>
      <c r="BK58">
        <v>0</v>
      </c>
      <c r="BL58">
        <v>0</v>
      </c>
      <c r="BM58">
        <v>0</v>
      </c>
      <c r="BN58">
        <v>0</v>
      </c>
      <c r="BO58">
        <v>0</v>
      </c>
      <c r="BP58">
        <v>0</v>
      </c>
      <c r="BQ58">
        <v>0</v>
      </c>
      <c r="BR58">
        <v>0</v>
      </c>
      <c r="BS58">
        <v>0</v>
      </c>
      <c r="BT58">
        <v>0</v>
      </c>
      <c r="BU58">
        <v>0</v>
      </c>
      <c r="BV58">
        <v>0</v>
      </c>
      <c r="BW58">
        <v>0</v>
      </c>
      <c r="BX58">
        <v>0</v>
      </c>
      <c r="BY58">
        <v>0</v>
      </c>
      <c r="BZ58">
        <v>0</v>
      </c>
      <c r="CA58">
        <v>0</v>
      </c>
      <c r="CB58">
        <v>0</v>
      </c>
      <c r="CC58">
        <v>0</v>
      </c>
      <c r="CD58">
        <v>0</v>
      </c>
      <c r="CE58">
        <v>0</v>
      </c>
      <c r="CF58">
        <v>0</v>
      </c>
      <c r="CG58">
        <v>0</v>
      </c>
      <c r="CH58">
        <v>0</v>
      </c>
      <c r="CI58">
        <v>0</v>
      </c>
      <c r="CJ58">
        <v>0</v>
      </c>
      <c r="CK58">
        <v>0</v>
      </c>
      <c r="CL58">
        <v>0</v>
      </c>
      <c r="CM58">
        <v>0</v>
      </c>
      <c r="CN58">
        <v>0</v>
      </c>
      <c r="CO58">
        <v>0</v>
      </c>
      <c r="CP58">
        <v>0</v>
      </c>
      <c r="CQ58">
        <v>0</v>
      </c>
      <c r="CR58">
        <v>0</v>
      </c>
      <c r="CS58">
        <v>0</v>
      </c>
      <c r="CT58">
        <v>0</v>
      </c>
      <c r="CU58">
        <v>0</v>
      </c>
      <c r="CV58">
        <v>0</v>
      </c>
      <c r="CW58">
        <v>0</v>
      </c>
      <c r="CX58">
        <v>0</v>
      </c>
      <c r="CY58">
        <v>0</v>
      </c>
      <c r="CZ58">
        <v>0</v>
      </c>
      <c r="DA58">
        <v>0</v>
      </c>
      <c r="DB58">
        <v>0</v>
      </c>
    </row>
    <row r="59" spans="1:106">
      <c r="A59" t="s">
        <v>142</v>
      </c>
      <c r="B59" t="s">
        <v>146</v>
      </c>
      <c r="C59">
        <v>0</v>
      </c>
      <c r="D59">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c r="AO59">
        <v>0</v>
      </c>
      <c r="AP59">
        <v>0</v>
      </c>
      <c r="AQ59">
        <v>0</v>
      </c>
      <c r="AR59">
        <v>0</v>
      </c>
      <c r="AS59">
        <v>0</v>
      </c>
      <c r="AT59">
        <v>0</v>
      </c>
      <c r="AU59">
        <v>0</v>
      </c>
      <c r="AV59">
        <v>0</v>
      </c>
      <c r="AW59">
        <v>0</v>
      </c>
      <c r="AX59">
        <v>0</v>
      </c>
      <c r="AY59">
        <v>0</v>
      </c>
      <c r="AZ59">
        <v>0</v>
      </c>
      <c r="BA59">
        <v>0</v>
      </c>
      <c r="BB59">
        <v>0</v>
      </c>
      <c r="BC59">
        <v>0</v>
      </c>
      <c r="BD59">
        <v>0</v>
      </c>
      <c r="BE59">
        <v>0</v>
      </c>
      <c r="BF59">
        <v>0</v>
      </c>
      <c r="BG59">
        <v>0</v>
      </c>
      <c r="BH59">
        <v>0</v>
      </c>
      <c r="BI59">
        <v>0</v>
      </c>
      <c r="BJ59">
        <v>0</v>
      </c>
      <c r="BK59">
        <v>0</v>
      </c>
      <c r="BL59">
        <v>0</v>
      </c>
      <c r="BM59">
        <v>0</v>
      </c>
      <c r="BN59">
        <v>0</v>
      </c>
      <c r="BO59">
        <v>0</v>
      </c>
      <c r="BP59">
        <v>0</v>
      </c>
      <c r="BQ59">
        <v>0</v>
      </c>
      <c r="BR59">
        <v>0</v>
      </c>
      <c r="BS59">
        <v>0</v>
      </c>
      <c r="BT59">
        <v>0</v>
      </c>
      <c r="BU59">
        <v>0</v>
      </c>
      <c r="BV59">
        <v>0</v>
      </c>
      <c r="BW59">
        <v>0</v>
      </c>
      <c r="BX59">
        <v>0</v>
      </c>
      <c r="BY59">
        <v>0</v>
      </c>
      <c r="BZ59">
        <v>0</v>
      </c>
      <c r="CA59">
        <v>0</v>
      </c>
      <c r="CB59">
        <v>0</v>
      </c>
      <c r="CC59">
        <v>0</v>
      </c>
      <c r="CD59">
        <v>0</v>
      </c>
      <c r="CE59">
        <v>0</v>
      </c>
      <c r="CF59">
        <v>0</v>
      </c>
      <c r="CG59">
        <v>0</v>
      </c>
      <c r="CH59">
        <v>0</v>
      </c>
      <c r="CI59">
        <v>0</v>
      </c>
      <c r="CJ59">
        <v>0</v>
      </c>
      <c r="CK59">
        <v>0</v>
      </c>
      <c r="CL59">
        <v>0</v>
      </c>
      <c r="CM59">
        <v>0</v>
      </c>
      <c r="CN59">
        <v>0</v>
      </c>
      <c r="CO59">
        <v>0</v>
      </c>
      <c r="CP59">
        <v>0</v>
      </c>
      <c r="CQ59">
        <v>0</v>
      </c>
      <c r="CR59">
        <v>0</v>
      </c>
      <c r="CS59">
        <v>0</v>
      </c>
      <c r="CT59">
        <v>0</v>
      </c>
      <c r="CU59">
        <v>0</v>
      </c>
      <c r="CV59">
        <v>0</v>
      </c>
      <c r="CW59">
        <v>0</v>
      </c>
      <c r="CX59">
        <v>0</v>
      </c>
      <c r="CY59">
        <v>0</v>
      </c>
      <c r="CZ59">
        <v>0</v>
      </c>
      <c r="DA59">
        <v>0</v>
      </c>
      <c r="DB59">
        <v>0</v>
      </c>
    </row>
    <row r="60" spans="1:106">
      <c r="A60" t="s">
        <v>142</v>
      </c>
      <c r="B60" t="s">
        <v>147</v>
      </c>
      <c r="C60">
        <v>0</v>
      </c>
      <c r="D60">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c r="AP60">
        <v>0</v>
      </c>
      <c r="AQ60">
        <v>0</v>
      </c>
      <c r="AR60">
        <v>0</v>
      </c>
      <c r="AS60">
        <v>0</v>
      </c>
      <c r="AT60">
        <v>0</v>
      </c>
      <c r="AU60">
        <v>0</v>
      </c>
      <c r="AV60">
        <v>0</v>
      </c>
      <c r="AW60">
        <v>0</v>
      </c>
      <c r="AX60">
        <v>0</v>
      </c>
      <c r="AY60">
        <v>0</v>
      </c>
      <c r="AZ60">
        <v>0</v>
      </c>
      <c r="BA60">
        <v>0</v>
      </c>
      <c r="BB60">
        <v>0</v>
      </c>
      <c r="BC60">
        <v>0</v>
      </c>
      <c r="BD60">
        <v>0</v>
      </c>
      <c r="BE60">
        <v>0</v>
      </c>
      <c r="BF60">
        <v>0</v>
      </c>
      <c r="BG60">
        <v>0</v>
      </c>
      <c r="BH60">
        <v>0</v>
      </c>
      <c r="BI60">
        <v>0</v>
      </c>
      <c r="BJ60">
        <v>0</v>
      </c>
      <c r="BK60">
        <v>0</v>
      </c>
      <c r="BL60">
        <v>0</v>
      </c>
      <c r="BM60">
        <v>0</v>
      </c>
      <c r="BN60">
        <v>0</v>
      </c>
      <c r="BO60">
        <v>0</v>
      </c>
      <c r="BP60">
        <v>0</v>
      </c>
      <c r="BQ60">
        <v>0</v>
      </c>
      <c r="BR60">
        <v>0</v>
      </c>
      <c r="BS60">
        <v>0</v>
      </c>
      <c r="BT60">
        <v>0</v>
      </c>
      <c r="BU60">
        <v>0</v>
      </c>
      <c r="BV60">
        <v>0</v>
      </c>
      <c r="BW60">
        <v>0</v>
      </c>
      <c r="BX60">
        <v>0</v>
      </c>
      <c r="BY60">
        <v>0</v>
      </c>
      <c r="BZ60">
        <v>0</v>
      </c>
      <c r="CA60">
        <v>0</v>
      </c>
      <c r="CB60">
        <v>0</v>
      </c>
      <c r="CC60">
        <v>0</v>
      </c>
      <c r="CD60">
        <v>0</v>
      </c>
      <c r="CE60">
        <v>0</v>
      </c>
      <c r="CF60">
        <v>0</v>
      </c>
      <c r="CG60">
        <v>0</v>
      </c>
      <c r="CH60">
        <v>0</v>
      </c>
      <c r="CI60">
        <v>0</v>
      </c>
      <c r="CJ60">
        <v>0</v>
      </c>
      <c r="CK60">
        <v>0</v>
      </c>
      <c r="CL60">
        <v>0</v>
      </c>
      <c r="CM60">
        <v>0</v>
      </c>
      <c r="CN60">
        <v>0</v>
      </c>
      <c r="CO60">
        <v>0</v>
      </c>
      <c r="CP60">
        <v>0</v>
      </c>
      <c r="CQ60">
        <v>0</v>
      </c>
      <c r="CR60">
        <v>0</v>
      </c>
      <c r="CS60">
        <v>0</v>
      </c>
      <c r="CT60">
        <v>0</v>
      </c>
      <c r="CU60">
        <v>0</v>
      </c>
      <c r="CV60">
        <v>0</v>
      </c>
      <c r="CW60">
        <v>0</v>
      </c>
      <c r="CX60">
        <v>0</v>
      </c>
      <c r="CY60">
        <v>0</v>
      </c>
      <c r="CZ60">
        <v>0</v>
      </c>
      <c r="DA60">
        <v>0</v>
      </c>
      <c r="DB60">
        <v>0</v>
      </c>
    </row>
    <row r="61" spans="1:106">
      <c r="A61" t="s">
        <v>142</v>
      </c>
      <c r="B61" t="s">
        <v>148</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c r="AO61">
        <v>0</v>
      </c>
      <c r="AP61">
        <v>0</v>
      </c>
      <c r="AQ61">
        <v>0</v>
      </c>
      <c r="AR61">
        <v>0</v>
      </c>
      <c r="AS61">
        <v>0</v>
      </c>
      <c r="AT61">
        <v>0</v>
      </c>
      <c r="AU61">
        <v>0</v>
      </c>
      <c r="AV61">
        <v>0</v>
      </c>
      <c r="AW61">
        <v>0</v>
      </c>
      <c r="AX61">
        <v>0</v>
      </c>
      <c r="AY61">
        <v>0</v>
      </c>
      <c r="AZ61">
        <v>0</v>
      </c>
      <c r="BA61">
        <v>0</v>
      </c>
      <c r="BB61">
        <v>0</v>
      </c>
      <c r="BC61">
        <v>0</v>
      </c>
      <c r="BD61">
        <v>0</v>
      </c>
      <c r="BE61">
        <v>0</v>
      </c>
      <c r="BF61">
        <v>0</v>
      </c>
      <c r="BG61">
        <v>0</v>
      </c>
      <c r="BH61">
        <v>0</v>
      </c>
      <c r="BI61">
        <v>0</v>
      </c>
      <c r="BJ61">
        <v>0</v>
      </c>
      <c r="BK61">
        <v>0</v>
      </c>
      <c r="BL61">
        <v>0</v>
      </c>
      <c r="BM61">
        <v>0</v>
      </c>
      <c r="BN61">
        <v>0</v>
      </c>
      <c r="BO61">
        <v>0</v>
      </c>
      <c r="BP61">
        <v>0</v>
      </c>
      <c r="BQ61">
        <v>0</v>
      </c>
      <c r="BR61">
        <v>0</v>
      </c>
      <c r="BS61">
        <v>0</v>
      </c>
      <c r="BT61">
        <v>0</v>
      </c>
      <c r="BU61">
        <v>0</v>
      </c>
      <c r="BV61">
        <v>0</v>
      </c>
      <c r="BW61">
        <v>0</v>
      </c>
      <c r="BX61">
        <v>0</v>
      </c>
      <c r="BY61">
        <v>0</v>
      </c>
      <c r="BZ61">
        <v>0</v>
      </c>
      <c r="CA61">
        <v>0</v>
      </c>
      <c r="CB61">
        <v>0</v>
      </c>
      <c r="CC61">
        <v>0</v>
      </c>
      <c r="CD61">
        <v>0</v>
      </c>
      <c r="CE61">
        <v>0</v>
      </c>
      <c r="CF61">
        <v>0</v>
      </c>
      <c r="CG61">
        <v>0</v>
      </c>
      <c r="CH61">
        <v>0</v>
      </c>
      <c r="CI61">
        <v>0</v>
      </c>
      <c r="CJ61">
        <v>0</v>
      </c>
      <c r="CK61">
        <v>0</v>
      </c>
      <c r="CL61">
        <v>0</v>
      </c>
      <c r="CM61">
        <v>0</v>
      </c>
      <c r="CN61">
        <v>0</v>
      </c>
      <c r="CO61">
        <v>0</v>
      </c>
      <c r="CP61">
        <v>0</v>
      </c>
      <c r="CQ61">
        <v>0</v>
      </c>
      <c r="CR61">
        <v>0</v>
      </c>
      <c r="CS61">
        <v>0</v>
      </c>
      <c r="CT61">
        <v>0</v>
      </c>
      <c r="CU61">
        <v>0</v>
      </c>
      <c r="CV61">
        <v>0</v>
      </c>
      <c r="CW61">
        <v>0</v>
      </c>
      <c r="CX61">
        <v>0</v>
      </c>
      <c r="CY61">
        <v>0</v>
      </c>
      <c r="CZ61">
        <v>0</v>
      </c>
      <c r="DA61">
        <v>0</v>
      </c>
      <c r="DB61">
        <v>0</v>
      </c>
    </row>
    <row r="70" spans="1:3">
      <c r="A70" t="s">
        <v>149</v>
      </c>
    </row>
    <row r="71" spans="1:3">
      <c r="A71" t="s">
        <v>114</v>
      </c>
      <c r="B71" t="s">
        <v>115</v>
      </c>
    </row>
    <row r="72" spans="1:3">
      <c r="A72" t="s">
        <v>116</v>
      </c>
      <c r="B72" t="s">
        <v>117</v>
      </c>
    </row>
    <row r="73" spans="1:3">
      <c r="A73" t="s">
        <v>118</v>
      </c>
      <c r="B73" t="s">
        <v>119</v>
      </c>
    </row>
    <row r="74" spans="1:3">
      <c r="A74" t="s">
        <v>120</v>
      </c>
      <c r="B74" t="s">
        <v>150</v>
      </c>
    </row>
    <row r="75" spans="1:3">
      <c r="A75" t="s">
        <v>122</v>
      </c>
      <c r="B75" t="s">
        <v>123</v>
      </c>
    </row>
    <row r="76" spans="1:3">
      <c r="A76" t="s">
        <v>124</v>
      </c>
      <c r="B76" t="s">
        <v>125</v>
      </c>
    </row>
    <row r="77" spans="1:3" ht="409.5">
      <c r="A77" t="s">
        <v>126</v>
      </c>
      <c r="B77" s="60" t="s">
        <v>127</v>
      </c>
      <c r="C77" s="61" t="s">
        <v>128</v>
      </c>
    </row>
    <row r="78" spans="1:3" ht="409.5">
      <c r="A78" t="s">
        <v>129</v>
      </c>
      <c r="B78" s="60" t="s">
        <v>151</v>
      </c>
      <c r="C78" s="61" t="s">
        <v>128</v>
      </c>
    </row>
    <row r="79" spans="1:3">
      <c r="A79" t="s">
        <v>132</v>
      </c>
      <c r="B79" t="s">
        <v>119</v>
      </c>
    </row>
    <row r="80" spans="1:3">
      <c r="A80" t="s">
        <v>133</v>
      </c>
      <c r="B80" t="s">
        <v>119</v>
      </c>
    </row>
    <row r="81" spans="1:2">
      <c r="A81" t="s">
        <v>134</v>
      </c>
      <c r="B81" t="s">
        <v>119</v>
      </c>
    </row>
    <row r="82" spans="1:2">
      <c r="A82" t="s">
        <v>135</v>
      </c>
      <c r="B82" t="s">
        <v>136</v>
      </c>
    </row>
    <row r="83" spans="1:2">
      <c r="A83" t="s">
        <v>137</v>
      </c>
      <c r="B83" t="s">
        <v>138</v>
      </c>
    </row>
  </sheetData>
  <pageMargins left="0.7" right="0.7" top="0.75" bottom="0.75" header="0.3" footer="0.3"/>
  <pageSetup orientation="portrait" horizontalDpi="300" verticalDpi="0" r:id="rId1"/>
  <customProperties>
    <customPr name="EpmWorksheetKeyString_GUID" r:id="rId2"/>
  </customProperties>
  <drawing r:id="rId3"/>
  <legacyDrawing r:id="rId4"/>
  <controls>
    <mc:AlternateContent xmlns:mc="http://schemas.openxmlformats.org/markup-compatibility/2006">
      <mc:Choice Requires="x14">
        <control shapeId="13313" r:id="rId5" name="FPMExcelClientSheetOptionstb1">
          <controlPr defaultSize="0" autoLine="0" autoPict="0" r:id="rId6">
            <anchor moveWithCells="1" sizeWithCells="1">
              <from>
                <xdr:col>0</xdr:col>
                <xdr:colOff>0</xdr:colOff>
                <xdr:row>0</xdr:row>
                <xdr:rowOff>0</xdr:rowOff>
              </from>
              <to>
                <xdr:col>1</xdr:col>
                <xdr:colOff>19050</xdr:colOff>
                <xdr:row>0</xdr:row>
                <xdr:rowOff>0</xdr:rowOff>
              </to>
            </anchor>
          </controlPr>
        </control>
      </mc:Choice>
      <mc:Fallback>
        <control shapeId="13313"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AD867-0FFE-449E-95C5-7606430A0350}">
  <sheetPr codeName="Sheet5"/>
  <dimension ref="A1:Q107"/>
  <sheetViews>
    <sheetView showGridLines="0" zoomScale="85" zoomScaleNormal="85" workbookViewId="0">
      <selection activeCell="F47" sqref="F47"/>
    </sheetView>
  </sheetViews>
  <sheetFormatPr defaultColWidth="9.140625" defaultRowHeight="15"/>
  <cols>
    <col min="1" max="1" width="1.7109375" style="1" customWidth="1"/>
    <col min="2" max="2" width="12.7109375" style="1" customWidth="1"/>
    <col min="3" max="3" width="15.7109375" style="1" customWidth="1"/>
    <col min="4" max="4" width="82.140625" style="1" customWidth="1"/>
    <col min="5" max="5" width="3.28515625" style="1" customWidth="1"/>
    <col min="6" max="6" width="14.28515625" customWidth="1"/>
    <col min="7" max="7" width="3.28515625" style="1" customWidth="1"/>
    <col min="8" max="8" width="30.7109375" style="1" customWidth="1"/>
    <col min="9" max="9" width="3.28515625" style="1" customWidth="1"/>
    <col min="10" max="10" width="14.28515625" customWidth="1"/>
    <col min="11" max="11" width="3.28515625" style="1" customWidth="1"/>
    <col min="12" max="12" width="36.7109375" style="1" customWidth="1"/>
    <col min="13" max="16" width="10.7109375" style="1" customWidth="1"/>
    <col min="17" max="17" width="90.5703125" style="1" customWidth="1"/>
    <col min="18" max="16384" width="9.140625" style="1"/>
  </cols>
  <sheetData>
    <row r="1" spans="1:17" ht="42" customHeight="1">
      <c r="A1" s="2"/>
      <c r="B1" s="86" t="s">
        <v>152</v>
      </c>
      <c r="C1" s="86"/>
      <c r="D1" s="86"/>
      <c r="E1" s="86"/>
      <c r="F1" s="86"/>
      <c r="G1" s="86"/>
      <c r="H1" s="86"/>
      <c r="I1" s="86"/>
      <c r="J1" s="86"/>
      <c r="K1" s="86"/>
      <c r="L1" s="86"/>
    </row>
    <row r="2" spans="1:17" ht="15.75" customHeight="1">
      <c r="A2" s="34" t="s">
        <v>153</v>
      </c>
      <c r="B2" s="2"/>
      <c r="C2" s="2"/>
      <c r="D2" s="2"/>
      <c r="E2" s="2"/>
      <c r="G2" s="2"/>
      <c r="H2" s="2"/>
      <c r="I2" s="2"/>
      <c r="J2" s="37"/>
      <c r="K2" s="2"/>
      <c r="L2" s="2"/>
    </row>
    <row r="3" spans="1:17" ht="15.75" customHeight="1">
      <c r="A3" s="2"/>
      <c r="B3" s="3" t="s">
        <v>154</v>
      </c>
      <c r="C3" s="2"/>
      <c r="D3" s="2"/>
      <c r="E3" s="2"/>
      <c r="F3" s="37"/>
      <c r="G3" s="2"/>
      <c r="H3" s="2"/>
      <c r="I3" s="2"/>
      <c r="J3" s="37"/>
      <c r="K3" s="2"/>
      <c r="L3" s="2"/>
    </row>
    <row r="4" spans="1:17" ht="18" customHeight="1" thickBot="1">
      <c r="A4" s="2"/>
      <c r="B4" s="2"/>
      <c r="C4" s="2"/>
      <c r="D4" s="2"/>
      <c r="E4" s="2"/>
      <c r="F4" s="37"/>
      <c r="G4" s="2"/>
      <c r="H4" s="2"/>
      <c r="I4" s="2"/>
      <c r="J4" s="37"/>
      <c r="K4" s="2"/>
      <c r="L4" s="2"/>
    </row>
    <row r="5" spans="1:17" ht="28.35" customHeight="1">
      <c r="A5" s="2"/>
      <c r="B5" s="87" t="s">
        <v>155</v>
      </c>
      <c r="C5" s="88"/>
      <c r="D5" s="88"/>
      <c r="E5" s="88"/>
      <c r="F5" s="88"/>
      <c r="G5" s="88"/>
      <c r="H5" s="88"/>
      <c r="I5" s="88"/>
      <c r="J5" s="88"/>
      <c r="K5" s="88"/>
      <c r="L5" s="89"/>
      <c r="Q5" s="16" t="s">
        <v>156</v>
      </c>
    </row>
    <row r="6" spans="1:17" ht="28.35" customHeight="1" thickBot="1">
      <c r="A6" s="2"/>
      <c r="B6" s="90"/>
      <c r="C6" s="91"/>
      <c r="D6" s="91"/>
      <c r="E6" s="91"/>
      <c r="F6" s="91"/>
      <c r="G6" s="91"/>
      <c r="H6" s="91"/>
      <c r="I6" s="91"/>
      <c r="J6" s="91"/>
      <c r="K6" s="91"/>
      <c r="L6" s="92"/>
      <c r="Q6" s="17" t="s">
        <v>157</v>
      </c>
    </row>
    <row r="7" spans="1:17" ht="22.15" customHeight="1">
      <c r="A7" s="2"/>
      <c r="B7" s="85" t="s">
        <v>158</v>
      </c>
      <c r="C7" s="14"/>
      <c r="D7" s="14"/>
      <c r="E7" s="14"/>
      <c r="F7" s="38"/>
      <c r="G7" s="14"/>
      <c r="H7" s="14"/>
      <c r="I7" s="14"/>
      <c r="J7" s="38"/>
      <c r="K7" s="14"/>
      <c r="L7" s="15"/>
      <c r="Q7" s="69" t="s">
        <v>159</v>
      </c>
    </row>
    <row r="8" spans="1:17" ht="18" customHeight="1">
      <c r="A8" s="2"/>
      <c r="B8" s="77"/>
      <c r="C8" s="2"/>
      <c r="D8" s="2"/>
      <c r="E8" s="2"/>
      <c r="F8" s="37"/>
      <c r="G8" s="2"/>
      <c r="H8" s="2"/>
      <c r="I8" s="2"/>
      <c r="J8" s="37"/>
      <c r="K8" s="2"/>
      <c r="L8" s="10"/>
      <c r="Q8" s="69"/>
    </row>
    <row r="9" spans="1:17" ht="17.100000000000001" customHeight="1">
      <c r="A9" s="2"/>
      <c r="B9" s="77"/>
      <c r="C9" s="5"/>
      <c r="D9" s="6"/>
      <c r="E9" s="79" t="s">
        <v>160</v>
      </c>
      <c r="F9" s="80"/>
      <c r="G9" s="81"/>
      <c r="H9" s="4" t="s">
        <v>161</v>
      </c>
      <c r="I9" s="79" t="s">
        <v>162</v>
      </c>
      <c r="J9" s="80"/>
      <c r="K9" s="81"/>
      <c r="L9" s="11" t="s">
        <v>161</v>
      </c>
      <c r="Q9" s="69"/>
    </row>
    <row r="10" spans="1:17" ht="5.0999999999999996" customHeight="1">
      <c r="A10" s="2"/>
      <c r="B10" s="77"/>
      <c r="C10" s="82"/>
      <c r="D10" s="2"/>
      <c r="E10" s="12"/>
      <c r="F10" s="39"/>
      <c r="G10" s="12"/>
      <c r="H10" s="8"/>
      <c r="I10" s="12"/>
      <c r="J10" s="39"/>
      <c r="K10" s="12"/>
      <c r="L10" s="10"/>
      <c r="Q10" s="69"/>
    </row>
    <row r="11" spans="1:17" ht="16.149999999999999" customHeight="1">
      <c r="A11" s="2"/>
      <c r="B11" s="77"/>
      <c r="C11" s="83"/>
      <c r="D11" s="55" t="s">
        <v>163</v>
      </c>
      <c r="E11" s="12"/>
      <c r="F11" s="30">
        <v>10000</v>
      </c>
      <c r="G11" s="12"/>
      <c r="H11" s="58" t="s">
        <v>164</v>
      </c>
      <c r="I11" s="12"/>
      <c r="J11" s="33" t="s">
        <v>165</v>
      </c>
      <c r="K11" s="12"/>
      <c r="L11" s="13" t="s">
        <v>166</v>
      </c>
      <c r="Q11" s="69"/>
    </row>
    <row r="12" spans="1:17" ht="5.0999999999999996" customHeight="1" thickBot="1">
      <c r="A12" s="2"/>
      <c r="B12" s="93"/>
      <c r="C12" s="94"/>
      <c r="D12" s="63"/>
      <c r="E12" s="64"/>
      <c r="F12" s="65"/>
      <c r="G12" s="64"/>
      <c r="H12" s="66"/>
      <c r="I12" s="64"/>
      <c r="J12" s="65"/>
      <c r="K12" s="64"/>
      <c r="L12" s="67"/>
      <c r="Q12" s="69"/>
    </row>
    <row r="13" spans="1:17" ht="22.15" customHeight="1">
      <c r="A13" s="2"/>
      <c r="B13" s="77" t="s">
        <v>167</v>
      </c>
      <c r="C13" s="2"/>
      <c r="D13" s="2"/>
      <c r="E13" s="2"/>
      <c r="F13" s="37"/>
      <c r="G13" s="2"/>
      <c r="H13" s="2"/>
      <c r="I13" s="2"/>
      <c r="J13" s="37"/>
      <c r="K13" s="2"/>
      <c r="L13" s="10"/>
      <c r="Q13" s="69"/>
    </row>
    <row r="14" spans="1:17" ht="18" customHeight="1">
      <c r="A14" s="2"/>
      <c r="B14" s="77"/>
      <c r="C14" s="2"/>
      <c r="D14" s="2"/>
      <c r="E14" s="2"/>
      <c r="F14" s="37"/>
      <c r="G14" s="2"/>
      <c r="H14" s="2"/>
      <c r="I14" s="2"/>
      <c r="J14" s="37"/>
      <c r="K14" s="2"/>
      <c r="L14" s="10"/>
      <c r="Q14" s="69"/>
    </row>
    <row r="15" spans="1:17" ht="17.100000000000001" customHeight="1">
      <c r="A15" s="2"/>
      <c r="B15" s="77"/>
      <c r="C15" s="5"/>
      <c r="D15" s="6"/>
      <c r="E15" s="79" t="s">
        <v>160</v>
      </c>
      <c r="F15" s="80"/>
      <c r="G15" s="81"/>
      <c r="H15" s="4" t="s">
        <v>161</v>
      </c>
      <c r="I15" s="79" t="s">
        <v>162</v>
      </c>
      <c r="J15" s="80"/>
      <c r="K15" s="81"/>
      <c r="L15" s="11" t="s">
        <v>161</v>
      </c>
      <c r="Q15" s="69"/>
    </row>
    <row r="16" spans="1:17" ht="5.0999999999999996" customHeight="1">
      <c r="A16" s="2"/>
      <c r="B16" s="77"/>
      <c r="C16" s="82"/>
      <c r="D16" s="2"/>
      <c r="E16" s="12"/>
      <c r="F16" s="39"/>
      <c r="G16" s="12"/>
      <c r="H16" s="8"/>
      <c r="I16" s="12"/>
      <c r="J16" s="39"/>
      <c r="K16" s="12"/>
      <c r="L16" s="10"/>
      <c r="Q16" s="69"/>
    </row>
    <row r="17" spans="1:17" ht="16.149999999999999" customHeight="1">
      <c r="A17" s="2"/>
      <c r="B17" s="77"/>
      <c r="C17" s="83"/>
      <c r="D17" s="55" t="s">
        <v>163</v>
      </c>
      <c r="E17" s="12"/>
      <c r="F17" s="30">
        <v>10000</v>
      </c>
      <c r="G17" s="12"/>
      <c r="H17" s="58" t="s">
        <v>166</v>
      </c>
      <c r="I17" s="12"/>
      <c r="J17" s="21" t="s">
        <v>165</v>
      </c>
      <c r="K17" s="12"/>
      <c r="L17" s="13" t="s">
        <v>166</v>
      </c>
      <c r="Q17" s="69"/>
    </row>
    <row r="18" spans="1:17" ht="5.0999999999999996" customHeight="1" thickBot="1">
      <c r="A18" s="2"/>
      <c r="B18" s="93"/>
      <c r="C18" s="94"/>
      <c r="D18" s="63"/>
      <c r="E18" s="64"/>
      <c r="F18" s="65"/>
      <c r="G18" s="64"/>
      <c r="H18" s="66"/>
      <c r="I18" s="64"/>
      <c r="J18" s="65"/>
      <c r="K18" s="64"/>
      <c r="L18" s="67"/>
      <c r="Q18" s="69"/>
    </row>
    <row r="19" spans="1:17" ht="9" customHeight="1">
      <c r="A19" s="2"/>
      <c r="B19" s="2"/>
      <c r="C19" s="2"/>
      <c r="D19" s="2"/>
      <c r="E19" s="2"/>
      <c r="F19" s="37"/>
      <c r="G19" s="2"/>
      <c r="H19" s="2"/>
      <c r="I19" s="2"/>
      <c r="J19" s="37"/>
      <c r="K19" s="2"/>
      <c r="L19" s="2"/>
      <c r="Q19" s="69"/>
    </row>
    <row r="20" spans="1:17" ht="24.6" customHeight="1">
      <c r="A20" s="2"/>
      <c r="B20" s="2"/>
      <c r="C20" s="2"/>
      <c r="D20" s="2"/>
      <c r="E20" s="2"/>
      <c r="F20" s="37"/>
      <c r="G20" s="2"/>
      <c r="H20" s="2"/>
      <c r="I20" s="2"/>
      <c r="J20" s="37"/>
      <c r="K20" s="2"/>
      <c r="L20" s="2"/>
      <c r="Q20" s="18"/>
    </row>
    <row r="21" spans="1:17" ht="15" customHeight="1" thickBot="1">
      <c r="A21" s="2"/>
      <c r="B21" s="2"/>
      <c r="C21" s="2"/>
      <c r="D21" s="2"/>
      <c r="E21" s="2"/>
      <c r="F21" s="37"/>
      <c r="G21" s="2"/>
      <c r="H21" s="2"/>
      <c r="I21" s="2"/>
      <c r="J21" s="37"/>
      <c r="K21" s="2"/>
      <c r="L21" s="2"/>
      <c r="Q21" s="19" t="s">
        <v>168</v>
      </c>
    </row>
    <row r="22" spans="1:17" ht="28.35" customHeight="1">
      <c r="A22" s="2"/>
      <c r="B22" s="70" t="s">
        <v>169</v>
      </c>
      <c r="C22" s="71"/>
      <c r="D22" s="71"/>
      <c r="E22" s="71"/>
      <c r="F22" s="71"/>
      <c r="G22" s="71"/>
      <c r="H22" s="71"/>
      <c r="I22" s="71"/>
      <c r="J22" s="71"/>
      <c r="K22" s="71"/>
      <c r="L22" s="72"/>
      <c r="Q22" s="69" t="s">
        <v>170</v>
      </c>
    </row>
    <row r="23" spans="1:17" ht="28.35" customHeight="1">
      <c r="A23" s="2"/>
      <c r="B23" s="73"/>
      <c r="C23" s="74"/>
      <c r="D23" s="74"/>
      <c r="E23" s="74"/>
      <c r="F23" s="74"/>
      <c r="G23" s="74"/>
      <c r="H23" s="74"/>
      <c r="I23" s="74"/>
      <c r="J23" s="74"/>
      <c r="K23" s="74"/>
      <c r="L23" s="75"/>
      <c r="Q23" s="69"/>
    </row>
    <row r="24" spans="1:17" ht="18" customHeight="1">
      <c r="A24" s="2"/>
      <c r="B24" s="76" t="s">
        <v>167</v>
      </c>
      <c r="C24" s="2"/>
      <c r="D24" s="2"/>
      <c r="E24" s="2"/>
      <c r="F24" s="37"/>
      <c r="G24" s="2"/>
      <c r="H24" s="2"/>
      <c r="I24" s="2"/>
      <c r="J24" s="37"/>
      <c r="K24" s="2"/>
      <c r="L24" s="10"/>
      <c r="Q24" s="69"/>
    </row>
    <row r="25" spans="1:17" ht="17.100000000000001" customHeight="1">
      <c r="A25" s="2"/>
      <c r="B25" s="77"/>
      <c r="C25" s="5"/>
      <c r="D25" s="6"/>
      <c r="E25" s="79" t="s">
        <v>160</v>
      </c>
      <c r="F25" s="80"/>
      <c r="G25" s="81"/>
      <c r="H25" s="4" t="s">
        <v>161</v>
      </c>
      <c r="I25" s="79" t="s">
        <v>162</v>
      </c>
      <c r="J25" s="80"/>
      <c r="K25" s="81"/>
      <c r="L25" s="11" t="s">
        <v>161</v>
      </c>
      <c r="Q25" s="69"/>
    </row>
    <row r="26" spans="1:17" ht="5.0999999999999996" customHeight="1">
      <c r="A26" s="2"/>
      <c r="B26" s="77"/>
      <c r="C26" s="83"/>
      <c r="D26" s="2"/>
      <c r="E26" s="12"/>
      <c r="F26" s="39"/>
      <c r="G26" s="12"/>
      <c r="H26" s="9"/>
      <c r="I26" s="12"/>
      <c r="J26" s="39"/>
      <c r="K26" s="12"/>
      <c r="L26" s="10"/>
      <c r="Q26" s="69"/>
    </row>
    <row r="27" spans="1:17" ht="16.149999999999999" customHeight="1">
      <c r="A27" s="2"/>
      <c r="B27" s="77"/>
      <c r="C27" s="83"/>
      <c r="D27" s="55" t="s">
        <v>171</v>
      </c>
      <c r="E27" s="12"/>
      <c r="F27" s="41">
        <v>10000</v>
      </c>
      <c r="G27" s="12"/>
      <c r="H27" s="58" t="s">
        <v>166</v>
      </c>
      <c r="I27" s="12"/>
      <c r="J27" s="42" t="s">
        <v>165</v>
      </c>
      <c r="K27" s="12"/>
      <c r="L27" s="13" t="s">
        <v>166</v>
      </c>
      <c r="Q27" s="69"/>
    </row>
    <row r="28" spans="1:17" ht="5.0999999999999996" customHeight="1">
      <c r="A28" s="2"/>
      <c r="B28" s="77"/>
      <c r="C28" s="84"/>
      <c r="D28" s="56"/>
      <c r="E28" s="7"/>
      <c r="F28" s="40"/>
      <c r="G28" s="7"/>
      <c r="H28" s="6"/>
      <c r="I28" s="7"/>
      <c r="J28" s="40"/>
      <c r="K28" s="7"/>
      <c r="L28" s="57"/>
      <c r="Q28" s="69"/>
    </row>
    <row r="29" spans="1:17" ht="5.0999999999999996" customHeight="1">
      <c r="A29" s="2"/>
      <c r="B29" s="77"/>
      <c r="C29" s="83"/>
      <c r="D29" s="2"/>
      <c r="E29" s="12"/>
      <c r="F29" s="39"/>
      <c r="G29" s="12"/>
      <c r="H29" s="9"/>
      <c r="I29" s="12"/>
      <c r="J29" s="39"/>
      <c r="K29" s="12"/>
      <c r="L29" s="10"/>
      <c r="Q29" s="69"/>
    </row>
    <row r="30" spans="1:17" ht="16.149999999999999" customHeight="1">
      <c r="A30" s="2"/>
      <c r="B30" s="77"/>
      <c r="C30" s="83"/>
      <c r="D30" s="55" t="s">
        <v>172</v>
      </c>
      <c r="E30" s="12"/>
      <c r="F30" s="29">
        <v>10000</v>
      </c>
      <c r="G30" s="12"/>
      <c r="H30" s="58" t="s">
        <v>173</v>
      </c>
      <c r="I30" s="12"/>
      <c r="J30" s="43" t="s">
        <v>165</v>
      </c>
      <c r="K30" s="12"/>
      <c r="L30" s="13" t="s">
        <v>164</v>
      </c>
      <c r="Q30" s="20"/>
    </row>
    <row r="31" spans="1:17" ht="5.0999999999999996" customHeight="1">
      <c r="A31" s="2"/>
      <c r="B31" s="77"/>
      <c r="C31" s="84"/>
      <c r="D31" s="56"/>
      <c r="E31" s="7"/>
      <c r="F31" s="40"/>
      <c r="G31" s="7"/>
      <c r="H31" s="6"/>
      <c r="I31" s="7"/>
      <c r="J31" s="40"/>
      <c r="K31" s="7"/>
      <c r="L31" s="57"/>
    </row>
    <row r="32" spans="1:17" ht="5.0999999999999996" customHeight="1">
      <c r="A32" s="2"/>
      <c r="B32" s="77"/>
      <c r="C32" s="83"/>
      <c r="D32" s="2"/>
      <c r="E32" s="12"/>
      <c r="F32" s="39"/>
      <c r="G32" s="12"/>
      <c r="H32" s="9"/>
      <c r="I32" s="12"/>
      <c r="J32" s="39"/>
      <c r="K32" s="12"/>
      <c r="L32" s="10"/>
    </row>
    <row r="33" spans="1:12" ht="16.149999999999999" customHeight="1">
      <c r="A33" s="2"/>
      <c r="B33" s="77"/>
      <c r="C33" s="83"/>
      <c r="D33" s="55" t="s">
        <v>174</v>
      </c>
      <c r="E33" s="12"/>
      <c r="F33" s="41">
        <v>10000</v>
      </c>
      <c r="G33" s="12"/>
      <c r="H33" s="58" t="s">
        <v>166</v>
      </c>
      <c r="I33" s="12"/>
      <c r="J33" s="42" t="s">
        <v>165</v>
      </c>
      <c r="K33" s="12"/>
      <c r="L33" s="13" t="s">
        <v>166</v>
      </c>
    </row>
    <row r="34" spans="1:12" ht="5.0999999999999996" customHeight="1">
      <c r="A34" s="2"/>
      <c r="B34" s="77"/>
      <c r="C34" s="84"/>
      <c r="D34" s="56"/>
      <c r="E34" s="7"/>
      <c r="F34" s="40"/>
      <c r="G34" s="7"/>
      <c r="H34" s="6"/>
      <c r="I34" s="7"/>
      <c r="J34" s="40"/>
      <c r="K34" s="7"/>
      <c r="L34" s="57"/>
    </row>
    <row r="35" spans="1:12" ht="5.0999999999999996" customHeight="1">
      <c r="A35" s="2"/>
      <c r="B35" s="77"/>
      <c r="C35" s="83"/>
      <c r="D35" s="2"/>
      <c r="E35" s="12"/>
      <c r="F35" s="39"/>
      <c r="G35" s="12"/>
      <c r="H35" s="9"/>
      <c r="I35" s="12"/>
      <c r="J35" s="39"/>
      <c r="K35" s="12"/>
      <c r="L35" s="10"/>
    </row>
    <row r="36" spans="1:12" ht="16.149999999999999" customHeight="1">
      <c r="A36" s="2"/>
      <c r="B36" s="77"/>
      <c r="C36" s="83"/>
      <c r="D36" s="55" t="s">
        <v>175</v>
      </c>
      <c r="E36" s="12"/>
      <c r="F36" s="22">
        <v>10000</v>
      </c>
      <c r="G36" s="12"/>
      <c r="H36" s="58" t="s">
        <v>176</v>
      </c>
      <c r="I36" s="12"/>
      <c r="J36" s="42" t="s">
        <v>165</v>
      </c>
      <c r="K36" s="12"/>
      <c r="L36" s="13" t="s">
        <v>164</v>
      </c>
    </row>
    <row r="37" spans="1:12" ht="5.0999999999999996" customHeight="1">
      <c r="A37" s="2"/>
      <c r="B37" s="77"/>
      <c r="C37" s="84"/>
      <c r="D37" s="56"/>
      <c r="E37" s="7"/>
      <c r="F37" s="40"/>
      <c r="G37" s="7"/>
      <c r="H37" s="6"/>
      <c r="I37" s="7"/>
      <c r="J37" s="40"/>
      <c r="K37" s="7"/>
      <c r="L37" s="57"/>
    </row>
    <row r="38" spans="1:12" ht="5.0999999999999996" customHeight="1">
      <c r="A38" s="2"/>
      <c r="B38" s="77"/>
      <c r="C38" s="83"/>
      <c r="D38" s="2"/>
      <c r="E38" s="12"/>
      <c r="F38" s="39"/>
      <c r="G38" s="12"/>
      <c r="H38" s="9"/>
      <c r="I38" s="12"/>
      <c r="J38" s="39"/>
      <c r="K38" s="12"/>
      <c r="L38" s="10"/>
    </row>
    <row r="39" spans="1:12" ht="16.149999999999999" customHeight="1">
      <c r="A39" s="2"/>
      <c r="B39" s="77"/>
      <c r="C39" s="83"/>
      <c r="D39" s="55" t="s">
        <v>177</v>
      </c>
      <c r="E39" s="12"/>
      <c r="F39" s="39"/>
      <c r="G39" s="12"/>
      <c r="H39" s="9"/>
      <c r="I39" s="12"/>
      <c r="J39" s="39"/>
      <c r="K39" s="12"/>
      <c r="L39" s="10"/>
    </row>
    <row r="40" spans="1:12" ht="5.0999999999999996" customHeight="1">
      <c r="A40" s="2"/>
      <c r="B40" s="77"/>
      <c r="C40" s="54"/>
      <c r="D40" s="55"/>
      <c r="E40" s="12"/>
      <c r="F40" s="39"/>
      <c r="G40" s="12"/>
      <c r="H40" s="9"/>
      <c r="I40" s="12"/>
      <c r="J40" s="39"/>
      <c r="K40" s="12"/>
      <c r="L40" s="10"/>
    </row>
    <row r="41" spans="1:12" ht="15.75" customHeight="1">
      <c r="A41" s="2"/>
      <c r="B41" s="77"/>
      <c r="C41" s="54"/>
      <c r="D41" s="32" t="s">
        <v>178</v>
      </c>
      <c r="E41" s="12"/>
      <c r="F41" s="36">
        <v>10000</v>
      </c>
      <c r="G41" s="12"/>
      <c r="H41" s="58" t="s">
        <v>179</v>
      </c>
      <c r="I41" s="12"/>
      <c r="J41" s="44" t="s">
        <v>165</v>
      </c>
      <c r="K41" s="12"/>
      <c r="L41" s="13" t="s">
        <v>180</v>
      </c>
    </row>
    <row r="42" spans="1:12" ht="5.0999999999999996" customHeight="1">
      <c r="A42" s="2"/>
      <c r="B42" s="77"/>
      <c r="C42" s="54"/>
      <c r="D42" s="31"/>
      <c r="E42" s="7"/>
      <c r="F42" s="40"/>
      <c r="G42" s="7"/>
      <c r="H42" s="6"/>
      <c r="I42" s="7"/>
      <c r="J42" s="40"/>
      <c r="K42" s="7"/>
      <c r="L42" s="57"/>
    </row>
    <row r="43" spans="1:12" ht="5.0999999999999996" customHeight="1">
      <c r="A43" s="2"/>
      <c r="B43" s="77"/>
      <c r="C43" s="54"/>
      <c r="D43" s="55"/>
      <c r="E43" s="12"/>
      <c r="F43" s="39"/>
      <c r="G43" s="12"/>
      <c r="H43" s="9"/>
      <c r="I43" s="12"/>
      <c r="J43" s="39"/>
      <c r="K43" s="12"/>
      <c r="L43" s="10"/>
    </row>
    <row r="44" spans="1:12" ht="15.75" customHeight="1">
      <c r="A44" s="2"/>
      <c r="B44" s="77"/>
      <c r="C44" s="54"/>
      <c r="D44" s="32" t="s">
        <v>110</v>
      </c>
      <c r="E44" s="12"/>
      <c r="F44" s="62">
        <v>10000</v>
      </c>
      <c r="G44" s="12"/>
      <c r="H44" s="58" t="s">
        <v>166</v>
      </c>
      <c r="I44" s="12"/>
      <c r="J44" s="42" t="s">
        <v>165</v>
      </c>
      <c r="K44" s="12"/>
      <c r="L44" s="13" t="s">
        <v>166</v>
      </c>
    </row>
    <row r="45" spans="1:12" ht="5.0999999999999996" customHeight="1">
      <c r="A45" s="2"/>
      <c r="B45" s="77"/>
      <c r="C45" s="54"/>
      <c r="D45" s="31"/>
      <c r="E45" s="7"/>
      <c r="F45" s="40"/>
      <c r="G45" s="7"/>
      <c r="H45" s="6"/>
      <c r="I45" s="7"/>
      <c r="J45" s="40"/>
      <c r="K45" s="7"/>
      <c r="L45" s="57"/>
    </row>
    <row r="46" spans="1:12" ht="22.15" customHeight="1">
      <c r="A46" s="2"/>
      <c r="B46" s="77"/>
      <c r="C46" s="54"/>
      <c r="D46" s="2"/>
      <c r="E46" s="2"/>
      <c r="F46" s="37"/>
      <c r="G46" s="2"/>
      <c r="H46" s="9"/>
      <c r="I46" s="2"/>
      <c r="J46" s="37"/>
      <c r="K46" s="2"/>
      <c r="L46" s="10"/>
    </row>
    <row r="47" spans="1:12" ht="5.0999999999999996" customHeight="1" thickBot="1">
      <c r="A47" s="2"/>
      <c r="B47" s="93"/>
      <c r="C47" s="68"/>
      <c r="D47" s="63"/>
      <c r="E47" s="63"/>
      <c r="F47" s="103"/>
      <c r="G47" s="63"/>
      <c r="H47" s="66"/>
      <c r="I47" s="63"/>
      <c r="J47" s="103"/>
      <c r="K47" s="63"/>
      <c r="L47" s="67"/>
    </row>
    <row r="48" spans="1:12" ht="16.149999999999999" customHeight="1">
      <c r="A48" s="2"/>
      <c r="B48" s="85" t="s">
        <v>158</v>
      </c>
      <c r="C48" s="14"/>
      <c r="D48" s="14"/>
      <c r="E48" s="14"/>
      <c r="F48" s="38"/>
      <c r="G48" s="14"/>
      <c r="H48" s="14"/>
      <c r="I48" s="14"/>
      <c r="J48" s="38"/>
      <c r="K48" s="14"/>
      <c r="L48" s="15"/>
    </row>
    <row r="49" spans="1:12" ht="18" customHeight="1">
      <c r="A49" s="2"/>
      <c r="B49" s="77"/>
      <c r="C49" s="5"/>
      <c r="D49" s="6"/>
      <c r="E49" s="79" t="s">
        <v>160</v>
      </c>
      <c r="F49" s="80"/>
      <c r="G49" s="81"/>
      <c r="H49" s="4" t="s">
        <v>161</v>
      </c>
      <c r="I49" s="79" t="s">
        <v>162</v>
      </c>
      <c r="J49" s="80"/>
      <c r="K49" s="81"/>
      <c r="L49" s="11" t="s">
        <v>161</v>
      </c>
    </row>
    <row r="50" spans="1:12" ht="5.0999999999999996" customHeight="1">
      <c r="A50" s="2"/>
      <c r="B50" s="77"/>
      <c r="C50" s="83"/>
      <c r="D50" s="2"/>
      <c r="E50" s="12"/>
      <c r="F50" s="39"/>
      <c r="G50" s="12"/>
      <c r="H50" s="9"/>
      <c r="I50" s="12"/>
      <c r="J50" s="39"/>
      <c r="K50" s="12"/>
      <c r="L50" s="10"/>
    </row>
    <row r="51" spans="1:12" ht="16.149999999999999" customHeight="1">
      <c r="A51" s="2"/>
      <c r="B51" s="77"/>
      <c r="C51" s="83"/>
      <c r="D51" s="55" t="s">
        <v>171</v>
      </c>
      <c r="E51" s="12"/>
      <c r="F51" s="41">
        <v>10000</v>
      </c>
      <c r="G51" s="12"/>
      <c r="H51" s="58" t="s">
        <v>166</v>
      </c>
      <c r="I51" s="12"/>
      <c r="J51" s="42" t="s">
        <v>165</v>
      </c>
      <c r="K51" s="12"/>
      <c r="L51" s="13" t="s">
        <v>166</v>
      </c>
    </row>
    <row r="52" spans="1:12" ht="5.0999999999999996" customHeight="1">
      <c r="A52" s="2"/>
      <c r="B52" s="77"/>
      <c r="C52" s="84"/>
      <c r="D52" s="56"/>
      <c r="E52" s="7"/>
      <c r="F52" s="40"/>
      <c r="G52" s="7"/>
      <c r="H52" s="6"/>
      <c r="I52" s="7"/>
      <c r="J52" s="40"/>
      <c r="K52" s="7"/>
      <c r="L52" s="57"/>
    </row>
    <row r="53" spans="1:12" ht="5.0999999999999996" customHeight="1">
      <c r="A53" s="2"/>
      <c r="B53" s="77"/>
      <c r="C53" s="83"/>
      <c r="D53" s="2"/>
      <c r="E53" s="12"/>
      <c r="F53" s="39"/>
      <c r="G53" s="12"/>
      <c r="H53" s="9"/>
      <c r="I53" s="12"/>
      <c r="J53" s="39"/>
      <c r="K53" s="12"/>
      <c r="L53" s="10"/>
    </row>
    <row r="54" spans="1:12" ht="16.149999999999999" customHeight="1">
      <c r="A54" s="2"/>
      <c r="B54" s="77"/>
      <c r="C54" s="83"/>
      <c r="D54" s="55" t="s">
        <v>172</v>
      </c>
      <c r="E54" s="12"/>
      <c r="F54" s="41">
        <v>10000</v>
      </c>
      <c r="G54" s="12"/>
      <c r="H54" s="58" t="s">
        <v>166</v>
      </c>
      <c r="I54" s="12"/>
      <c r="J54" s="42" t="s">
        <v>165</v>
      </c>
      <c r="K54" s="12"/>
      <c r="L54" s="13" t="s">
        <v>166</v>
      </c>
    </row>
    <row r="55" spans="1:12" ht="5.0999999999999996" customHeight="1">
      <c r="A55" s="2"/>
      <c r="B55" s="77"/>
      <c r="C55" s="84"/>
      <c r="D55" s="56"/>
      <c r="E55" s="7"/>
      <c r="F55" s="40"/>
      <c r="G55" s="7"/>
      <c r="H55" s="6"/>
      <c r="I55" s="7"/>
      <c r="J55" s="40"/>
      <c r="K55" s="7"/>
      <c r="L55" s="57"/>
    </row>
    <row r="56" spans="1:12" ht="5.0999999999999996" customHeight="1">
      <c r="A56" s="2"/>
      <c r="B56" s="77"/>
      <c r="C56" s="83"/>
      <c r="D56" s="2"/>
      <c r="E56" s="12"/>
      <c r="F56" s="39"/>
      <c r="G56" s="12"/>
      <c r="H56" s="9"/>
      <c r="I56" s="12"/>
      <c r="J56" s="39"/>
      <c r="K56" s="12"/>
      <c r="L56" s="10"/>
    </row>
    <row r="57" spans="1:12" ht="16.149999999999999" customHeight="1">
      <c r="A57" s="2"/>
      <c r="B57" s="77"/>
      <c r="C57" s="83"/>
      <c r="D57" s="55" t="s">
        <v>174</v>
      </c>
      <c r="E57" s="12"/>
      <c r="F57" s="41"/>
      <c r="G57" s="12"/>
      <c r="H57" s="58" t="s">
        <v>166</v>
      </c>
      <c r="I57" s="12"/>
      <c r="J57" s="42" t="s">
        <v>165</v>
      </c>
      <c r="K57" s="12"/>
      <c r="L57" s="13" t="s">
        <v>166</v>
      </c>
    </row>
    <row r="58" spans="1:12" ht="5.0999999999999996" customHeight="1">
      <c r="A58" s="2"/>
      <c r="B58" s="77"/>
      <c r="C58" s="84"/>
      <c r="D58" s="56"/>
      <c r="E58" s="7"/>
      <c r="F58" s="40"/>
      <c r="G58" s="7"/>
      <c r="H58" s="6"/>
      <c r="I58" s="7"/>
      <c r="J58" s="40"/>
      <c r="K58" s="7"/>
      <c r="L58" s="57"/>
    </row>
    <row r="59" spans="1:12" ht="5.0999999999999996" customHeight="1">
      <c r="A59" s="2"/>
      <c r="B59" s="77"/>
      <c r="C59" s="83"/>
      <c r="D59" s="2"/>
      <c r="E59" s="12"/>
      <c r="F59" s="39"/>
      <c r="G59" s="12"/>
      <c r="H59" s="9"/>
      <c r="I59" s="12"/>
      <c r="J59" s="39"/>
      <c r="K59" s="12"/>
      <c r="L59" s="10"/>
    </row>
    <row r="60" spans="1:12" ht="16.149999999999999" customHeight="1">
      <c r="A60" s="2"/>
      <c r="B60" s="77"/>
      <c r="C60" s="83"/>
      <c r="D60" s="55" t="s">
        <v>175</v>
      </c>
      <c r="E60" s="12"/>
      <c r="F60" s="41">
        <v>10000</v>
      </c>
      <c r="G60" s="12"/>
      <c r="H60" s="58" t="s">
        <v>166</v>
      </c>
      <c r="I60" s="12"/>
      <c r="J60" s="42" t="s">
        <v>165</v>
      </c>
      <c r="K60" s="12"/>
      <c r="L60" s="13" t="s">
        <v>166</v>
      </c>
    </row>
    <row r="61" spans="1:12" ht="5.0999999999999996" customHeight="1">
      <c r="A61" s="2"/>
      <c r="B61" s="77"/>
      <c r="C61" s="84"/>
      <c r="D61" s="56"/>
      <c r="E61" s="7"/>
      <c r="F61" s="40"/>
      <c r="G61" s="7"/>
      <c r="H61" s="6"/>
      <c r="I61" s="7"/>
      <c r="J61" s="40"/>
      <c r="K61" s="7"/>
      <c r="L61" s="57"/>
    </row>
    <row r="62" spans="1:12" ht="5.0999999999999996" customHeight="1">
      <c r="A62" s="2"/>
      <c r="B62" s="77"/>
      <c r="C62" s="83"/>
      <c r="D62" s="2"/>
      <c r="E62" s="12"/>
      <c r="F62" s="39"/>
      <c r="G62" s="12"/>
      <c r="H62" s="9"/>
      <c r="I62" s="12"/>
      <c r="J62" s="39"/>
      <c r="K62" s="12"/>
      <c r="L62" s="10"/>
    </row>
    <row r="63" spans="1:12" ht="16.149999999999999" customHeight="1">
      <c r="A63" s="2"/>
      <c r="B63" s="77"/>
      <c r="C63" s="83"/>
      <c r="D63" s="55" t="s">
        <v>177</v>
      </c>
      <c r="E63" s="12"/>
      <c r="F63" s="39"/>
      <c r="G63" s="12"/>
      <c r="H63" s="9"/>
      <c r="I63" s="12"/>
      <c r="J63" s="39"/>
      <c r="K63" s="12"/>
      <c r="L63" s="10"/>
    </row>
    <row r="64" spans="1:12" ht="5.0999999999999996" customHeight="1">
      <c r="A64" s="2"/>
      <c r="B64" s="77"/>
      <c r="C64" s="54"/>
      <c r="D64" s="55"/>
      <c r="E64" s="12"/>
      <c r="F64" s="39"/>
      <c r="G64" s="12"/>
      <c r="H64" s="9"/>
      <c r="I64" s="12"/>
      <c r="J64" s="39"/>
      <c r="K64" s="12"/>
      <c r="L64" s="10"/>
    </row>
    <row r="65" spans="1:12" ht="15.75" customHeight="1">
      <c r="A65" s="2"/>
      <c r="B65" s="77"/>
      <c r="C65" s="54"/>
      <c r="D65" s="32" t="s">
        <v>181</v>
      </c>
      <c r="E65" s="12"/>
      <c r="F65" s="51">
        <v>10000</v>
      </c>
      <c r="G65" s="12"/>
      <c r="H65" s="58" t="s">
        <v>182</v>
      </c>
      <c r="I65" s="12"/>
      <c r="J65" s="42" t="s">
        <v>165</v>
      </c>
      <c r="K65" s="12"/>
      <c r="L65" s="13" t="s">
        <v>164</v>
      </c>
    </row>
    <row r="66" spans="1:12" ht="5.0999999999999996" customHeight="1">
      <c r="A66" s="2"/>
      <c r="B66" s="77"/>
      <c r="C66" s="54"/>
      <c r="D66" s="31"/>
      <c r="E66" s="7"/>
      <c r="F66" s="40"/>
      <c r="G66" s="7"/>
      <c r="H66" s="6"/>
      <c r="I66" s="7"/>
      <c r="J66" s="40"/>
      <c r="K66" s="7"/>
      <c r="L66" s="57"/>
    </row>
    <row r="67" spans="1:12" ht="5.0999999999999996" customHeight="1">
      <c r="A67" s="2"/>
      <c r="B67" s="77"/>
      <c r="C67" s="54"/>
      <c r="D67" s="55"/>
      <c r="E67" s="12"/>
      <c r="F67" s="39"/>
      <c r="G67" s="12"/>
      <c r="H67" s="9"/>
      <c r="I67" s="12"/>
      <c r="J67" s="39"/>
      <c r="K67" s="12"/>
      <c r="L67" s="10"/>
    </row>
    <row r="68" spans="1:12" ht="15.75" customHeight="1">
      <c r="A68" s="2"/>
      <c r="B68" s="77"/>
      <c r="C68" s="54"/>
      <c r="D68" s="32" t="s">
        <v>183</v>
      </c>
      <c r="E68" s="12"/>
      <c r="F68" s="41">
        <v>10000</v>
      </c>
      <c r="G68" s="12"/>
      <c r="H68" s="58" t="s">
        <v>164</v>
      </c>
      <c r="I68" s="12"/>
      <c r="J68" s="45" t="s">
        <v>165</v>
      </c>
      <c r="K68" s="12"/>
      <c r="L68" s="13" t="s">
        <v>176</v>
      </c>
    </row>
    <row r="69" spans="1:12" ht="5.0999999999999996" customHeight="1">
      <c r="A69" s="2"/>
      <c r="B69" s="77"/>
      <c r="C69" s="54"/>
      <c r="D69" s="31"/>
      <c r="E69" s="7"/>
      <c r="F69" s="40"/>
      <c r="G69" s="7"/>
      <c r="H69" s="6"/>
      <c r="I69" s="7"/>
      <c r="J69" s="40"/>
      <c r="K69" s="7"/>
      <c r="L69" s="57"/>
    </row>
    <row r="70" spans="1:12" ht="5.0999999999999996" customHeight="1">
      <c r="A70" s="2"/>
      <c r="B70" s="77"/>
      <c r="C70" s="54"/>
      <c r="D70" s="55"/>
      <c r="E70" s="12"/>
      <c r="F70" s="39"/>
      <c r="G70" s="12"/>
      <c r="H70" s="9"/>
      <c r="I70" s="12"/>
      <c r="J70" s="39"/>
      <c r="K70" s="12"/>
      <c r="L70" s="10"/>
    </row>
    <row r="71" spans="1:12" ht="15.75" customHeight="1">
      <c r="A71" s="2"/>
      <c r="B71" s="77"/>
      <c r="C71" s="54"/>
      <c r="D71" s="32" t="s">
        <v>184</v>
      </c>
      <c r="E71" s="12"/>
      <c r="F71" s="41">
        <v>10000</v>
      </c>
      <c r="G71" s="12"/>
      <c r="H71" s="58" t="s">
        <v>164</v>
      </c>
      <c r="I71" s="12"/>
      <c r="J71" s="46" t="s">
        <v>165</v>
      </c>
      <c r="K71" s="12"/>
      <c r="L71" s="13" t="s">
        <v>176</v>
      </c>
    </row>
    <row r="72" spans="1:12" ht="5.0999999999999996" customHeight="1">
      <c r="A72" s="2"/>
      <c r="B72" s="77"/>
      <c r="C72" s="54"/>
      <c r="D72" s="31"/>
      <c r="E72" s="7"/>
      <c r="F72" s="40"/>
      <c r="G72" s="7"/>
      <c r="H72" s="6"/>
      <c r="I72" s="7"/>
      <c r="J72" s="40"/>
      <c r="K72" s="7"/>
      <c r="L72" s="57"/>
    </row>
    <row r="73" spans="1:12" ht="5.0999999999999996" customHeight="1">
      <c r="A73" s="2"/>
      <c r="B73" s="77"/>
      <c r="C73" s="54"/>
      <c r="D73" s="55"/>
      <c r="E73" s="12"/>
      <c r="F73" s="39"/>
      <c r="G73" s="12"/>
      <c r="H73" s="9"/>
      <c r="I73" s="12"/>
      <c r="J73" s="39"/>
      <c r="K73" s="12"/>
      <c r="L73" s="10"/>
    </row>
    <row r="74" spans="1:12" ht="15.75" customHeight="1">
      <c r="A74" s="2"/>
      <c r="B74" s="77"/>
      <c r="C74" s="54"/>
      <c r="D74" s="32" t="s">
        <v>185</v>
      </c>
      <c r="E74" s="12"/>
      <c r="F74" s="41">
        <v>10000</v>
      </c>
      <c r="G74" s="12"/>
      <c r="H74" s="58" t="s">
        <v>164</v>
      </c>
      <c r="I74" s="12"/>
      <c r="J74" s="47" t="s">
        <v>165</v>
      </c>
      <c r="K74" s="12"/>
      <c r="L74" s="13" t="s">
        <v>176</v>
      </c>
    </row>
    <row r="75" spans="1:12" ht="5.0999999999999996" customHeight="1">
      <c r="A75" s="2"/>
      <c r="B75" s="77"/>
      <c r="C75" s="54"/>
      <c r="D75" s="31"/>
      <c r="E75" s="7"/>
      <c r="F75" s="40"/>
      <c r="G75" s="7"/>
      <c r="H75" s="6"/>
      <c r="I75" s="7"/>
      <c r="J75" s="40"/>
      <c r="K75" s="7"/>
      <c r="L75" s="57"/>
    </row>
    <row r="76" spans="1:12" ht="5.0999999999999996" customHeight="1">
      <c r="A76" s="2"/>
      <c r="B76" s="77"/>
      <c r="C76" s="54"/>
      <c r="D76" s="55"/>
      <c r="E76" s="12"/>
      <c r="F76" s="39"/>
      <c r="G76" s="12"/>
      <c r="H76" s="9"/>
      <c r="I76" s="12"/>
      <c r="J76" s="39"/>
      <c r="K76" s="12"/>
      <c r="L76" s="10"/>
    </row>
    <row r="77" spans="1:12" ht="15.75" customHeight="1">
      <c r="A77" s="2"/>
      <c r="B77" s="77"/>
      <c r="C77" s="54"/>
      <c r="D77" s="32" t="s">
        <v>186</v>
      </c>
      <c r="E77" s="12"/>
      <c r="F77" s="41">
        <v>10000</v>
      </c>
      <c r="G77" s="12"/>
      <c r="H77" s="58" t="s">
        <v>164</v>
      </c>
      <c r="I77" s="12"/>
      <c r="J77" s="48" t="s">
        <v>165</v>
      </c>
      <c r="K77" s="12"/>
      <c r="L77" s="13" t="s">
        <v>176</v>
      </c>
    </row>
    <row r="78" spans="1:12" ht="5.0999999999999996" customHeight="1">
      <c r="A78" s="2"/>
      <c r="B78" s="77"/>
      <c r="C78" s="54"/>
      <c r="D78" s="31"/>
      <c r="E78" s="7"/>
      <c r="F78" s="40"/>
      <c r="G78" s="7"/>
      <c r="H78" s="6"/>
      <c r="I78" s="7"/>
      <c r="J78" s="40"/>
      <c r="K78" s="7"/>
      <c r="L78" s="57"/>
    </row>
    <row r="79" spans="1:12" ht="5.0999999999999996" customHeight="1">
      <c r="A79" s="2"/>
      <c r="B79" s="77"/>
      <c r="C79" s="54"/>
      <c r="D79" s="55"/>
      <c r="E79" s="12"/>
      <c r="F79" s="39"/>
      <c r="G79" s="12"/>
      <c r="H79" s="9"/>
      <c r="I79" s="12"/>
      <c r="J79" s="39"/>
      <c r="K79" s="12"/>
      <c r="L79" s="10"/>
    </row>
    <row r="80" spans="1:12" ht="15.75" customHeight="1">
      <c r="A80" s="2"/>
      <c r="B80" s="77"/>
      <c r="C80" s="54"/>
      <c r="D80" s="32" t="s">
        <v>187</v>
      </c>
      <c r="E80" s="12"/>
      <c r="F80" s="41">
        <v>10000</v>
      </c>
      <c r="G80" s="12"/>
      <c r="H80" s="58" t="s">
        <v>164</v>
      </c>
      <c r="I80" s="12"/>
      <c r="J80" s="49" t="s">
        <v>165</v>
      </c>
      <c r="K80" s="12"/>
      <c r="L80" s="13" t="s">
        <v>176</v>
      </c>
    </row>
    <row r="81" spans="1:12" ht="5.0999999999999996" customHeight="1">
      <c r="A81" s="2"/>
      <c r="B81" s="77"/>
      <c r="C81" s="54"/>
      <c r="D81" s="31"/>
      <c r="E81" s="7"/>
      <c r="F81" s="40"/>
      <c r="G81" s="7"/>
      <c r="H81" s="6"/>
      <c r="I81" s="7"/>
      <c r="J81" s="40"/>
      <c r="K81" s="7"/>
      <c r="L81" s="57"/>
    </row>
    <row r="82" spans="1:12" ht="5.0999999999999996" customHeight="1">
      <c r="A82" s="2"/>
      <c r="B82" s="77"/>
      <c r="C82" s="54"/>
      <c r="D82" s="55"/>
      <c r="E82" s="12"/>
      <c r="F82" s="39"/>
      <c r="G82" s="12"/>
      <c r="H82" s="9"/>
      <c r="I82" s="12"/>
      <c r="J82" s="39"/>
      <c r="K82" s="12"/>
      <c r="L82" s="10"/>
    </row>
    <row r="83" spans="1:12" ht="15.75" customHeight="1">
      <c r="A83" s="2"/>
      <c r="B83" s="77"/>
      <c r="C83" s="54"/>
      <c r="D83" s="32" t="s">
        <v>188</v>
      </c>
      <c r="E83" s="12"/>
      <c r="F83" s="41">
        <v>10000</v>
      </c>
      <c r="G83" s="12"/>
      <c r="H83" s="58" t="s">
        <v>164</v>
      </c>
      <c r="I83" s="12"/>
      <c r="J83" s="50" t="s">
        <v>165</v>
      </c>
      <c r="K83" s="12"/>
      <c r="L83" s="13" t="s">
        <v>176</v>
      </c>
    </row>
    <row r="84" spans="1:12" ht="5.0999999999999996" customHeight="1">
      <c r="A84" s="2"/>
      <c r="B84" s="77"/>
      <c r="C84" s="54"/>
      <c r="D84" s="31"/>
      <c r="E84" s="7"/>
      <c r="F84" s="40"/>
      <c r="G84" s="7"/>
      <c r="H84" s="6"/>
      <c r="I84" s="7"/>
      <c r="J84" s="40"/>
      <c r="K84" s="7"/>
      <c r="L84" s="57"/>
    </row>
    <row r="85" spans="1:12" ht="22.15" customHeight="1">
      <c r="A85" s="2"/>
      <c r="B85" s="77"/>
      <c r="C85" s="54"/>
      <c r="D85" s="2"/>
      <c r="E85" s="2"/>
      <c r="F85" s="37"/>
      <c r="G85" s="2"/>
      <c r="H85" s="9"/>
      <c r="I85" s="2"/>
      <c r="J85" s="37"/>
      <c r="K85" s="2"/>
      <c r="L85" s="10"/>
    </row>
    <row r="86" spans="1:12" ht="5.0999999999999996" customHeight="1" thickBot="1">
      <c r="A86" s="2"/>
      <c r="B86" s="93"/>
      <c r="C86" s="68"/>
      <c r="D86" s="63"/>
      <c r="E86" s="63"/>
      <c r="F86" s="103"/>
      <c r="G86" s="63"/>
      <c r="H86" s="66"/>
      <c r="I86" s="63"/>
      <c r="J86" s="103"/>
      <c r="K86" s="63"/>
      <c r="L86" s="67"/>
    </row>
    <row r="87" spans="1:12" ht="24.6" customHeight="1">
      <c r="A87" s="2"/>
      <c r="B87" s="2"/>
      <c r="C87" s="2"/>
      <c r="D87" s="2"/>
      <c r="E87" s="2"/>
      <c r="F87" s="37"/>
      <c r="G87" s="2"/>
      <c r="H87" s="2"/>
      <c r="I87" s="2"/>
      <c r="J87" s="37"/>
      <c r="K87" s="2"/>
      <c r="L87" s="2"/>
    </row>
    <row r="88" spans="1:12" ht="15.75" thickBot="1">
      <c r="A88" s="2"/>
      <c r="B88" s="2"/>
      <c r="C88" s="2"/>
      <c r="D88" s="2"/>
      <c r="E88" s="2"/>
      <c r="F88" s="37"/>
      <c r="G88" s="2"/>
      <c r="H88" s="2"/>
      <c r="I88" s="2"/>
      <c r="J88" s="37"/>
      <c r="K88" s="2"/>
      <c r="L88" s="2"/>
    </row>
    <row r="89" spans="1:12" ht="28.35" customHeight="1">
      <c r="A89" s="2"/>
      <c r="B89" s="70" t="s">
        <v>189</v>
      </c>
      <c r="C89" s="71"/>
      <c r="D89" s="71"/>
      <c r="E89" s="71"/>
      <c r="F89" s="71"/>
      <c r="G89" s="71"/>
      <c r="H89" s="71"/>
      <c r="I89" s="71"/>
      <c r="J89" s="71"/>
      <c r="K89" s="71"/>
      <c r="L89" s="72"/>
    </row>
    <row r="90" spans="1:12" ht="28.35" customHeight="1">
      <c r="A90" s="2"/>
      <c r="B90" s="73"/>
      <c r="C90" s="74"/>
      <c r="D90" s="74"/>
      <c r="E90" s="74"/>
      <c r="F90" s="74"/>
      <c r="G90" s="74"/>
      <c r="H90" s="74"/>
      <c r="I90" s="74"/>
      <c r="J90" s="74"/>
      <c r="K90" s="74"/>
      <c r="L90" s="75"/>
    </row>
    <row r="91" spans="1:12" ht="21.75" customHeight="1">
      <c r="A91" s="2"/>
      <c r="B91" s="76" t="s">
        <v>167</v>
      </c>
      <c r="C91" s="2"/>
      <c r="D91" s="2"/>
      <c r="E91" s="2"/>
      <c r="F91" s="37"/>
      <c r="G91" s="2"/>
      <c r="H91" s="2"/>
      <c r="I91" s="2"/>
      <c r="J91" s="37"/>
      <c r="K91" s="2"/>
      <c r="L91" s="10"/>
    </row>
    <row r="92" spans="1:12" ht="18" customHeight="1">
      <c r="A92" s="2"/>
      <c r="B92" s="77"/>
      <c r="C92" s="5"/>
      <c r="D92" s="6"/>
      <c r="E92" s="79" t="s">
        <v>160</v>
      </c>
      <c r="F92" s="80"/>
      <c r="G92" s="81"/>
      <c r="H92" s="4" t="s">
        <v>161</v>
      </c>
      <c r="I92" s="79" t="s">
        <v>162</v>
      </c>
      <c r="J92" s="80"/>
      <c r="K92" s="81"/>
      <c r="L92" s="11" t="s">
        <v>161</v>
      </c>
    </row>
    <row r="93" spans="1:12" ht="5.0999999999999996" customHeight="1">
      <c r="A93" s="2"/>
      <c r="B93" s="77"/>
      <c r="C93" s="82"/>
      <c r="D93" s="2"/>
      <c r="E93" s="12"/>
      <c r="F93" s="39"/>
      <c r="G93" s="12"/>
      <c r="H93" s="8"/>
      <c r="I93" s="12"/>
      <c r="J93" s="39"/>
      <c r="K93" s="12"/>
      <c r="L93" s="10"/>
    </row>
    <row r="94" spans="1:12" ht="15.75" customHeight="1">
      <c r="A94" s="2"/>
      <c r="B94" s="77"/>
      <c r="C94" s="83"/>
      <c r="D94" s="55" t="s">
        <v>190</v>
      </c>
      <c r="E94" s="12"/>
      <c r="F94" s="41">
        <v>10000</v>
      </c>
      <c r="G94" s="12"/>
      <c r="H94" s="58" t="s">
        <v>166</v>
      </c>
      <c r="I94" s="12"/>
      <c r="J94" s="42" t="s">
        <v>165</v>
      </c>
      <c r="K94" s="12"/>
      <c r="L94" s="13" t="s">
        <v>166</v>
      </c>
    </row>
    <row r="95" spans="1:12" ht="5.0999999999999996" customHeight="1">
      <c r="A95" s="2"/>
      <c r="B95" s="77"/>
      <c r="C95" s="84"/>
      <c r="D95" s="56"/>
      <c r="E95" s="7"/>
      <c r="F95" s="40"/>
      <c r="G95" s="7"/>
      <c r="H95" s="6"/>
      <c r="I95" s="7"/>
      <c r="J95" s="40"/>
      <c r="K95" s="7"/>
      <c r="L95" s="57"/>
    </row>
    <row r="96" spans="1:12" ht="5.0999999999999996" customHeight="1">
      <c r="A96" s="2"/>
      <c r="B96" s="77"/>
      <c r="C96" s="83"/>
      <c r="D96" s="2"/>
      <c r="E96" s="12"/>
      <c r="F96" s="39"/>
      <c r="G96" s="12"/>
      <c r="H96" s="9"/>
      <c r="I96" s="12"/>
      <c r="J96" s="39"/>
      <c r="K96" s="12"/>
      <c r="L96" s="10"/>
    </row>
    <row r="97" spans="1:12" ht="15.75" customHeight="1">
      <c r="A97" s="2"/>
      <c r="B97" s="77"/>
      <c r="C97" s="83"/>
      <c r="D97" s="55" t="s">
        <v>191</v>
      </c>
      <c r="E97" s="12"/>
      <c r="F97" s="41">
        <v>10000</v>
      </c>
      <c r="G97" s="12"/>
      <c r="H97" s="58" t="s">
        <v>166</v>
      </c>
      <c r="I97" s="12"/>
      <c r="J97" s="42" t="s">
        <v>165</v>
      </c>
      <c r="K97" s="12"/>
      <c r="L97" s="13" t="s">
        <v>166</v>
      </c>
    </row>
    <row r="98" spans="1:12" ht="5.0999999999999996" customHeight="1">
      <c r="A98" s="2"/>
      <c r="B98" s="78"/>
      <c r="C98" s="84"/>
      <c r="D98" s="56"/>
      <c r="E98" s="7"/>
      <c r="F98" s="40"/>
      <c r="G98" s="7"/>
      <c r="H98" s="6"/>
      <c r="I98" s="7"/>
      <c r="J98" s="40"/>
      <c r="K98" s="7"/>
      <c r="L98" s="57"/>
    </row>
    <row r="99" spans="1:12" ht="21.75" customHeight="1">
      <c r="A99" s="2"/>
      <c r="B99" s="76" t="s">
        <v>158</v>
      </c>
      <c r="C99" s="2"/>
      <c r="D99" s="2"/>
      <c r="E99" s="2"/>
      <c r="F99" s="37"/>
      <c r="G99" s="2"/>
      <c r="H99" s="2"/>
      <c r="I99" s="2"/>
      <c r="J99" s="37"/>
      <c r="K99" s="2"/>
      <c r="L99" s="10"/>
    </row>
    <row r="100" spans="1:12" ht="18" customHeight="1">
      <c r="A100" s="2"/>
      <c r="B100" s="77"/>
      <c r="C100" s="5"/>
      <c r="D100" s="6"/>
      <c r="E100" s="79" t="s">
        <v>160</v>
      </c>
      <c r="F100" s="80"/>
      <c r="G100" s="81"/>
      <c r="H100" s="4" t="s">
        <v>161</v>
      </c>
      <c r="I100" s="79" t="s">
        <v>162</v>
      </c>
      <c r="J100" s="80"/>
      <c r="K100" s="81"/>
      <c r="L100" s="11" t="s">
        <v>161</v>
      </c>
    </row>
    <row r="101" spans="1:12" ht="5.0999999999999996" customHeight="1">
      <c r="A101" s="2"/>
      <c r="B101" s="77"/>
      <c r="C101" s="82"/>
      <c r="D101" s="2"/>
      <c r="E101" s="12"/>
      <c r="F101" s="39"/>
      <c r="G101" s="12"/>
      <c r="H101" s="8"/>
      <c r="I101" s="12"/>
      <c r="J101" s="39"/>
      <c r="K101" s="12"/>
      <c r="L101" s="10"/>
    </row>
    <row r="102" spans="1:12" ht="15.75" customHeight="1">
      <c r="A102" s="2"/>
      <c r="B102" s="77"/>
      <c r="C102" s="83"/>
      <c r="D102" s="55" t="s">
        <v>190</v>
      </c>
      <c r="E102" s="12"/>
      <c r="F102" s="41">
        <v>10000</v>
      </c>
      <c r="G102" s="12"/>
      <c r="H102" s="58" t="s">
        <v>166</v>
      </c>
      <c r="I102" s="12"/>
      <c r="J102" s="42" t="s">
        <v>165</v>
      </c>
      <c r="K102" s="12"/>
      <c r="L102" s="13" t="s">
        <v>166</v>
      </c>
    </row>
    <row r="103" spans="1:12" ht="5.0999999999999996" customHeight="1">
      <c r="A103" s="2"/>
      <c r="B103" s="77"/>
      <c r="C103" s="84"/>
      <c r="D103" s="56"/>
      <c r="E103" s="7"/>
      <c r="F103" s="40"/>
      <c r="G103" s="7"/>
      <c r="H103" s="6"/>
      <c r="I103" s="7"/>
      <c r="J103" s="40"/>
      <c r="K103" s="7"/>
      <c r="L103" s="57"/>
    </row>
    <row r="104" spans="1:12" ht="5.0999999999999996" customHeight="1">
      <c r="A104" s="2"/>
      <c r="B104" s="77"/>
      <c r="C104" s="83"/>
      <c r="D104" s="2"/>
      <c r="E104" s="12"/>
      <c r="F104" s="39"/>
      <c r="G104" s="12"/>
      <c r="H104" s="9"/>
      <c r="I104" s="12"/>
      <c r="J104" s="39"/>
      <c r="K104" s="12"/>
      <c r="L104" s="10"/>
    </row>
    <row r="105" spans="1:12" ht="15.75" customHeight="1">
      <c r="A105" s="2"/>
      <c r="B105" s="77"/>
      <c r="C105" s="83"/>
      <c r="D105" s="55" t="s">
        <v>191</v>
      </c>
      <c r="E105" s="12"/>
      <c r="F105" s="41">
        <v>10000</v>
      </c>
      <c r="G105" s="12"/>
      <c r="H105" s="58" t="s">
        <v>166</v>
      </c>
      <c r="I105" s="12"/>
      <c r="J105" s="42" t="s">
        <v>165</v>
      </c>
      <c r="K105" s="12"/>
      <c r="L105" s="13" t="s">
        <v>166</v>
      </c>
    </row>
    <row r="106" spans="1:12" ht="5.0999999999999996" customHeight="1" thickBot="1">
      <c r="A106" s="2"/>
      <c r="B106" s="93"/>
      <c r="C106" s="94"/>
      <c r="D106" s="63"/>
      <c r="E106" s="64"/>
      <c r="F106" s="65"/>
      <c r="G106" s="64"/>
      <c r="H106" s="66"/>
      <c r="I106" s="64"/>
      <c r="J106" s="65"/>
      <c r="K106" s="64"/>
      <c r="L106" s="67"/>
    </row>
    <row r="107" spans="1:12" ht="15" customHeight="1">
      <c r="A107" s="2"/>
      <c r="B107" s="2"/>
      <c r="C107" s="2"/>
      <c r="D107" s="2"/>
      <c r="E107" s="2"/>
      <c r="F107" s="37"/>
      <c r="G107" s="2"/>
      <c r="H107" s="2"/>
      <c r="I107" s="2"/>
      <c r="J107" s="37"/>
      <c r="K107" s="2"/>
      <c r="L107" s="2"/>
    </row>
  </sheetData>
  <sheetProtection algorithmName="SHA-512" hashValue="CVo4Z1CNPtdan+DdgbDv+FbsIsgH7UYkZ3bYsC1AMSj+jK4hzQFJHX0bcFBriZeARMPa1dI99WcLfiAS0x8sBw==" saltValue="WpNDPiDSyTa5UUZfFIHyFA==" spinCount="100000" sheet="1" objects="1" scenarios="1" formatCells="0"/>
  <mergeCells count="43">
    <mergeCell ref="B22:L22"/>
    <mergeCell ref="B1:L1"/>
    <mergeCell ref="B5:L5"/>
    <mergeCell ref="B6:L6"/>
    <mergeCell ref="B7:B12"/>
    <mergeCell ref="E9:G9"/>
    <mergeCell ref="I9:K9"/>
    <mergeCell ref="C10:C12"/>
    <mergeCell ref="B13:B18"/>
    <mergeCell ref="E15:G15"/>
    <mergeCell ref="I15:K15"/>
    <mergeCell ref="C16:C18"/>
    <mergeCell ref="C62:C63"/>
    <mergeCell ref="B23:L23"/>
    <mergeCell ref="B24:B47"/>
    <mergeCell ref="E25:G25"/>
    <mergeCell ref="I25:K25"/>
    <mergeCell ref="C26:C28"/>
    <mergeCell ref="C29:C31"/>
    <mergeCell ref="C32:C34"/>
    <mergeCell ref="C35:C37"/>
    <mergeCell ref="C38:C39"/>
    <mergeCell ref="B99:B106"/>
    <mergeCell ref="E100:G100"/>
    <mergeCell ref="I100:K100"/>
    <mergeCell ref="C101:C103"/>
    <mergeCell ref="C104:C106"/>
    <mergeCell ref="Q7:Q19"/>
    <mergeCell ref="Q22:Q29"/>
    <mergeCell ref="B89:L89"/>
    <mergeCell ref="B90:L90"/>
    <mergeCell ref="B91:B98"/>
    <mergeCell ref="E92:G92"/>
    <mergeCell ref="I92:K92"/>
    <mergeCell ref="C93:C95"/>
    <mergeCell ref="C96:C98"/>
    <mergeCell ref="B48:B86"/>
    <mergeCell ref="E49:G49"/>
    <mergeCell ref="I49:K49"/>
    <mergeCell ref="C50:C52"/>
    <mergeCell ref="C53:C55"/>
    <mergeCell ref="C56:C58"/>
    <mergeCell ref="C59:C61"/>
  </mergeCells>
  <pageMargins left="0.7" right="0.7" top="0.75" bottom="0.75" header="0.3" footer="0.3"/>
  <pageSetup orientation="portrait" horizontalDpi="300" verticalDpi="200" r:id="rId1"/>
  <drawing r:id="rId2"/>
  <legacyDrawing r:id="rId3"/>
  <controls>
    <mc:AlternateContent xmlns:mc="http://schemas.openxmlformats.org/markup-compatibility/2006">
      <mc:Choice Requires="x14">
        <control shapeId="18433" r:id="rId10" name="cbApplyLevelFormatting">
          <controlPr defaultSize="0" autoFill="0" autoLine="0" r:id="rId11">
            <anchor moveWithCells="1">
              <from>
                <xdr:col>7</xdr:col>
                <xdr:colOff>1485900</xdr:colOff>
                <xdr:row>4</xdr:row>
                <xdr:rowOff>66675</xdr:rowOff>
              </from>
              <to>
                <xdr:col>7</xdr:col>
                <xdr:colOff>1609725</xdr:colOff>
                <xdr:row>4</xdr:row>
                <xdr:rowOff>342900</xdr:rowOff>
              </to>
            </anchor>
          </controlPr>
        </control>
      </mc:Choice>
      <mc:Fallback>
        <control shapeId="18433" r:id="rId10" name="cbApplyLevelFormatting"/>
      </mc:Fallback>
    </mc:AlternateContent>
    <mc:AlternateContent xmlns:mc="http://schemas.openxmlformats.org/markup-compatibility/2006">
      <mc:Choice Requires="x14">
        <control shapeId="18459" r:id="rId8" name="cbApplyMemberFormatting">
          <controlPr defaultSize="0" autoFill="0" autoLine="0" r:id="rId9">
            <anchor moveWithCells="1">
              <from>
                <xdr:col>9</xdr:col>
                <xdr:colOff>485775</xdr:colOff>
                <xdr:row>21</xdr:row>
                <xdr:rowOff>66675</xdr:rowOff>
              </from>
              <to>
                <xdr:col>9</xdr:col>
                <xdr:colOff>609600</xdr:colOff>
                <xdr:row>21</xdr:row>
                <xdr:rowOff>342900</xdr:rowOff>
              </to>
            </anchor>
          </controlPr>
        </control>
      </mc:Choice>
      <mc:Fallback>
        <control shapeId="18459" r:id="rId8" name="cbApplyMemberFormatting"/>
      </mc:Fallback>
    </mc:AlternateContent>
    <mc:AlternateContent xmlns:mc="http://schemas.openxmlformats.org/markup-compatibility/2006">
      <mc:Choice Requires="x14">
        <control shapeId="18477" r:id="rId6" name="cbApplyOddEvenFormatting">
          <controlPr defaultSize="0" autoFill="0" autoLine="0" r:id="rId7">
            <anchor moveWithCells="1">
              <from>
                <xdr:col>7</xdr:col>
                <xdr:colOff>1676400</xdr:colOff>
                <xdr:row>88</xdr:row>
                <xdr:rowOff>66675</xdr:rowOff>
              </from>
              <to>
                <xdr:col>7</xdr:col>
                <xdr:colOff>1800225</xdr:colOff>
                <xdr:row>88</xdr:row>
                <xdr:rowOff>342900</xdr:rowOff>
              </to>
            </anchor>
          </controlPr>
        </control>
      </mc:Choice>
      <mc:Fallback>
        <control shapeId="18477" r:id="rId6" name="cbApplyOddEvenFormatting"/>
      </mc:Fallback>
    </mc:AlternateContent>
    <mc:AlternateContent xmlns:mc="http://schemas.openxmlformats.org/markup-compatibility/2006">
      <mc:Choice Requires="x14">
        <control shapeId="18485" r:id="rId4" name="cbApplyPageHeaderFormatting">
          <controlPr defaultSize="0" autoFill="0" autoLine="0" r:id="rId5">
            <anchor moveWithCells="1">
              <from>
                <xdr:col>7</xdr:col>
                <xdr:colOff>1524000</xdr:colOff>
                <xdr:row>107</xdr:row>
                <xdr:rowOff>0</xdr:rowOff>
              </from>
              <to>
                <xdr:col>7</xdr:col>
                <xdr:colOff>1647825</xdr:colOff>
                <xdr:row>108</xdr:row>
                <xdr:rowOff>85725</xdr:rowOff>
              </to>
            </anchor>
          </controlPr>
        </control>
      </mc:Choice>
      <mc:Fallback>
        <control shapeId="18485" r:id="rId4" name="cbApplyPageHeaderFormatting"/>
      </mc:Fallback>
    </mc:AlternateContent>
    <mc:AlternateContent xmlns:mc="http://schemas.openxmlformats.org/markup-compatibility/2006">
      <mc:Choice Requires="x14">
        <control shapeId="18434" r:id="rId12" name="Group Box 2">
          <controlPr defaultSize="0" autoPict="0">
            <anchor moveWithCells="1">
              <from>
                <xdr:col>1</xdr:col>
                <xdr:colOff>0</xdr:colOff>
                <xdr:row>5</xdr:row>
                <xdr:rowOff>0</xdr:rowOff>
              </from>
              <to>
                <xdr:col>3</xdr:col>
                <xdr:colOff>2809875</xdr:colOff>
                <xdr:row>6</xdr:row>
                <xdr:rowOff>0</xdr:rowOff>
              </to>
            </anchor>
          </controlPr>
        </control>
      </mc:Choice>
    </mc:AlternateContent>
    <mc:AlternateContent xmlns:mc="http://schemas.openxmlformats.org/markup-compatibility/2006">
      <mc:Choice Requires="x14">
        <control shapeId="18435" r:id="rId13" name="obLevelRowFirst">
          <controlPr defaultSize="0" autoFill="0" autoLine="0" autoPict="0" macro="_xll.IBPXLClient.TechnicalCategory.ButtonActionInIBPClientFormattingSheet">
            <anchor moveWithCells="1">
              <from>
                <xdr:col>3</xdr:col>
                <xdr:colOff>485775</xdr:colOff>
                <xdr:row>5</xdr:row>
                <xdr:rowOff>66675</xdr:rowOff>
              </from>
              <to>
                <xdr:col>3</xdr:col>
                <xdr:colOff>2628900</xdr:colOff>
                <xdr:row>5</xdr:row>
                <xdr:rowOff>276225</xdr:rowOff>
              </to>
            </anchor>
          </controlPr>
        </control>
      </mc:Choice>
    </mc:AlternateContent>
    <mc:AlternateContent xmlns:mc="http://schemas.openxmlformats.org/markup-compatibility/2006">
      <mc:Choice Requires="x14">
        <control shapeId="18436" r:id="rId14" name="obLevelColumnFirst">
          <controlPr defaultSize="0" autoFill="0" autoLine="0" autoPict="0" macro="_xll.IBPXLClient.TechnicalCategory.ButtonActionInIBPClientFormattingSheet">
            <anchor moveWithCells="1">
              <from>
                <xdr:col>1</xdr:col>
                <xdr:colOff>219075</xdr:colOff>
                <xdr:row>5</xdr:row>
                <xdr:rowOff>66675</xdr:rowOff>
              </from>
              <to>
                <xdr:col>3</xdr:col>
                <xdr:colOff>447675</xdr:colOff>
                <xdr:row>5</xdr:row>
                <xdr:rowOff>276225</xdr:rowOff>
              </to>
            </anchor>
          </controlPr>
        </control>
      </mc:Choice>
    </mc:AlternateContent>
    <mc:AlternateContent xmlns:mc="http://schemas.openxmlformats.org/markup-compatibility/2006">
      <mc:Choice Requires="x14">
        <control shapeId="18437" r:id="rId15" name="Group Box 5">
          <controlPr defaultSize="0" autoPict="0">
            <anchor moveWithCells="1">
              <from>
                <xdr:col>3</xdr:col>
                <xdr:colOff>2752725</xdr:colOff>
                <xdr:row>5</xdr:row>
                <xdr:rowOff>0</xdr:rowOff>
              </from>
              <to>
                <xdr:col>8</xdr:col>
                <xdr:colOff>180975</xdr:colOff>
                <xdr:row>6</xdr:row>
                <xdr:rowOff>0</xdr:rowOff>
              </to>
            </anchor>
          </controlPr>
        </control>
      </mc:Choice>
    </mc:AlternateContent>
    <mc:AlternateContent xmlns:mc="http://schemas.openxmlformats.org/markup-compatibility/2006">
      <mc:Choice Requires="x14">
        <control shapeId="18438" r:id="rId16" name="obRelativeLevelHierarchy">
          <controlPr defaultSize="0" autoFill="0" autoLine="0" autoPict="0" macro="_xll.IBPXLClient.TechnicalCategory.ButtonActionInIBPClientFormattingSheet">
            <anchor moveWithCells="1">
              <from>
                <xdr:col>3</xdr:col>
                <xdr:colOff>4229100</xdr:colOff>
                <xdr:row>5</xdr:row>
                <xdr:rowOff>66675</xdr:rowOff>
              </from>
              <to>
                <xdr:col>4</xdr:col>
                <xdr:colOff>180975</xdr:colOff>
                <xdr:row>5</xdr:row>
                <xdr:rowOff>276225</xdr:rowOff>
              </to>
            </anchor>
          </controlPr>
        </control>
      </mc:Choice>
    </mc:AlternateContent>
    <mc:AlternateContent xmlns:mc="http://schemas.openxmlformats.org/markup-compatibility/2006">
      <mc:Choice Requires="x14">
        <control shapeId="18439" r:id="rId17" name="obDatabaseLevelHierarchy">
          <controlPr defaultSize="0" autoFill="0" autoLine="0" autoPict="0" macro="_xll.IBPXLClient.TechnicalCategory.ButtonActionInIBPClientFormattingSheet">
            <anchor moveWithCells="1">
              <from>
                <xdr:col>3</xdr:col>
                <xdr:colOff>2771775</xdr:colOff>
                <xdr:row>5</xdr:row>
                <xdr:rowOff>66675</xdr:rowOff>
              </from>
              <to>
                <xdr:col>3</xdr:col>
                <xdr:colOff>4200525</xdr:colOff>
                <xdr:row>5</xdr:row>
                <xdr:rowOff>276225</xdr:rowOff>
              </to>
            </anchor>
          </controlPr>
        </control>
      </mc:Choice>
    </mc:AlternateContent>
    <mc:AlternateContent xmlns:mc="http://schemas.openxmlformats.org/markup-compatibility/2006">
      <mc:Choice Requires="x14">
        <control shapeId="18440" r:id="rId18" name="cbApplyLevelFromTopToBottom">
          <controlPr defaultSize="0" autoFill="0" autoLine="0" autoPict="0">
            <anchor moveWithCells="1">
              <from>
                <xdr:col>7</xdr:col>
                <xdr:colOff>28575</xdr:colOff>
                <xdr:row>5</xdr:row>
                <xdr:rowOff>0</xdr:rowOff>
              </from>
              <to>
                <xdr:col>11</xdr:col>
                <xdr:colOff>2428875</xdr:colOff>
                <xdr:row>5</xdr:row>
                <xdr:rowOff>342900</xdr:rowOff>
              </to>
            </anchor>
          </controlPr>
        </control>
      </mc:Choice>
    </mc:AlternateContent>
    <mc:AlternateContent xmlns:mc="http://schemas.openxmlformats.org/markup-compatibility/2006">
      <mc:Choice Requires="x14">
        <control shapeId="18441" r:id="rId19" name="LVL1tbFormattingByLevel">
          <controlPr defaultSize="0" autoFill="0" autoPict="0">
            <anchor moveWithCells="1" sizeWithCells="1">
              <from>
                <xdr:col>10</xdr:col>
                <xdr:colOff>28575</xdr:colOff>
                <xdr:row>12</xdr:row>
                <xdr:rowOff>142875</xdr:rowOff>
              </from>
              <to>
                <xdr:col>11</xdr:col>
                <xdr:colOff>1133475</xdr:colOff>
                <xdr:row>13</xdr:row>
                <xdr:rowOff>123825</xdr:rowOff>
              </to>
            </anchor>
          </controlPr>
        </control>
      </mc:Choice>
    </mc:AlternateContent>
    <mc:AlternateContent xmlns:mc="http://schemas.openxmlformats.org/markup-compatibility/2006">
      <mc:Choice Requires="x14">
        <control shapeId="18442" r:id="rId20" name="Group Box 10">
          <controlPr defaultSize="0" autoPict="0">
            <anchor moveWithCells="1">
              <from>
                <xdr:col>10</xdr:col>
                <xdr:colOff>219075</xdr:colOff>
                <xdr:row>12</xdr:row>
                <xdr:rowOff>0</xdr:rowOff>
              </from>
              <to>
                <xdr:col>12</xdr:col>
                <xdr:colOff>0</xdr:colOff>
                <xdr:row>14</xdr:row>
                <xdr:rowOff>0</xdr:rowOff>
              </to>
            </anchor>
          </controlPr>
        </control>
      </mc:Choice>
    </mc:AlternateContent>
    <mc:AlternateContent xmlns:mc="http://schemas.openxmlformats.org/markup-compatibility/2006">
      <mc:Choice Requires="x14">
        <control shapeId="18443" r:id="rId21" name="obLevelOuterFirst">
          <controlPr defaultSize="0" autoFill="0" autoLine="0" autoPict="0">
            <anchor moveWithCells="1">
              <from>
                <xdr:col>11</xdr:col>
                <xdr:colOff>904875</xdr:colOff>
                <xdr:row>12</xdr:row>
                <xdr:rowOff>228600</xdr:rowOff>
              </from>
              <to>
                <xdr:col>11</xdr:col>
                <xdr:colOff>2105025</xdr:colOff>
                <xdr:row>13</xdr:row>
                <xdr:rowOff>152400</xdr:rowOff>
              </to>
            </anchor>
          </controlPr>
        </control>
      </mc:Choice>
    </mc:AlternateContent>
    <mc:AlternateContent xmlns:mc="http://schemas.openxmlformats.org/markup-compatibility/2006">
      <mc:Choice Requires="x14">
        <control shapeId="18444" r:id="rId22" name="obLevelInnerFirst">
          <controlPr defaultSize="0" autoFill="0" autoLine="0" autoPict="0">
            <anchor moveWithCells="1">
              <from>
                <xdr:col>11</xdr:col>
                <xdr:colOff>904875</xdr:colOff>
                <xdr:row>12</xdr:row>
                <xdr:rowOff>28575</xdr:rowOff>
              </from>
              <to>
                <xdr:col>11</xdr:col>
                <xdr:colOff>2105025</xdr:colOff>
                <xdr:row>12</xdr:row>
                <xdr:rowOff>257175</xdr:rowOff>
              </to>
            </anchor>
          </controlPr>
        </control>
      </mc:Choice>
    </mc:AlternateContent>
    <mc:AlternateContent xmlns:mc="http://schemas.openxmlformats.org/markup-compatibility/2006">
      <mc:Choice Requires="x14">
        <control shapeId="18445" r:id="rId23" name="cbUseDefaultLevelFirst">
          <controlPr defaultSize="0" autoFill="0" autoLine="0" autoPict="0">
            <anchor moveWithCells="1">
              <from>
                <xdr:col>2</xdr:col>
                <xdr:colOff>123825</xdr:colOff>
                <xdr:row>14</xdr:row>
                <xdr:rowOff>200025</xdr:rowOff>
              </from>
              <to>
                <xdr:col>2</xdr:col>
                <xdr:colOff>1019175</xdr:colOff>
                <xdr:row>17</xdr:row>
                <xdr:rowOff>38100</xdr:rowOff>
              </to>
            </anchor>
          </controlPr>
        </control>
      </mc:Choice>
    </mc:AlternateContent>
    <mc:AlternateContent xmlns:mc="http://schemas.openxmlformats.org/markup-compatibility/2006">
      <mc:Choice Requires="x14">
        <control shapeId="18446" r:id="rId24" name="cbUseLeafLevelFirst">
          <controlPr defaultSize="0" autoFill="0" autoLine="0" autoPict="0">
            <anchor moveWithCells="1">
              <from>
                <xdr:col>2</xdr:col>
                <xdr:colOff>123825</xdr:colOff>
                <xdr:row>18</xdr:row>
                <xdr:rowOff>0</xdr:rowOff>
              </from>
              <to>
                <xdr:col>2</xdr:col>
                <xdr:colOff>1019175</xdr:colOff>
                <xdr:row>19</xdr:row>
                <xdr:rowOff>190500</xdr:rowOff>
              </to>
            </anchor>
          </controlPr>
        </control>
      </mc:Choice>
    </mc:AlternateContent>
    <mc:AlternateContent xmlns:mc="http://schemas.openxmlformats.org/markup-compatibility/2006">
      <mc:Choice Requires="x14">
        <control shapeId="18447" r:id="rId25" name="cbUseSpecificLevelFirst">
          <controlPr defaultSize="0" autoFill="0" autoLine="0" autoPict="0">
            <anchor moveWithCells="1">
              <from>
                <xdr:col>2</xdr:col>
                <xdr:colOff>123825</xdr:colOff>
                <xdr:row>18</xdr:row>
                <xdr:rowOff>0</xdr:rowOff>
              </from>
              <to>
                <xdr:col>2</xdr:col>
                <xdr:colOff>1019175</xdr:colOff>
                <xdr:row>19</xdr:row>
                <xdr:rowOff>104775</xdr:rowOff>
              </to>
            </anchor>
          </controlPr>
        </control>
      </mc:Choice>
    </mc:AlternateContent>
    <mc:AlternateContent xmlns:mc="http://schemas.openxmlformats.org/markup-compatibility/2006">
      <mc:Choice Requires="x14">
        <control shapeId="18450" r:id="rId26" name="LVL2tbFormattingByLevel">
          <controlPr defaultSize="0" autoFill="0" autoPict="0">
            <anchor moveWithCells="1" sizeWithCells="1">
              <from>
                <xdr:col>10</xdr:col>
                <xdr:colOff>28575</xdr:colOff>
                <xdr:row>6</xdr:row>
                <xdr:rowOff>142875</xdr:rowOff>
              </from>
              <to>
                <xdr:col>11</xdr:col>
                <xdr:colOff>1133475</xdr:colOff>
                <xdr:row>7</xdr:row>
                <xdr:rowOff>142875</xdr:rowOff>
              </to>
            </anchor>
          </controlPr>
        </control>
      </mc:Choice>
    </mc:AlternateContent>
    <mc:AlternateContent xmlns:mc="http://schemas.openxmlformats.org/markup-compatibility/2006">
      <mc:Choice Requires="x14">
        <control shapeId="18451" r:id="rId27" name="Group Box 19">
          <controlPr defaultSize="0" autoPict="0">
            <anchor moveWithCells="1">
              <from>
                <xdr:col>10</xdr:col>
                <xdr:colOff>219075</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18452" r:id="rId28" name="obLevelOuterSecond">
          <controlPr defaultSize="0" autoFill="0" autoLine="0" autoPict="0">
            <anchor moveWithCells="1">
              <from>
                <xdr:col>11</xdr:col>
                <xdr:colOff>904875</xdr:colOff>
                <xdr:row>6</xdr:row>
                <xdr:rowOff>228600</xdr:rowOff>
              </from>
              <to>
                <xdr:col>11</xdr:col>
                <xdr:colOff>2105025</xdr:colOff>
                <xdr:row>7</xdr:row>
                <xdr:rowOff>180975</xdr:rowOff>
              </to>
            </anchor>
          </controlPr>
        </control>
      </mc:Choice>
    </mc:AlternateContent>
    <mc:AlternateContent xmlns:mc="http://schemas.openxmlformats.org/markup-compatibility/2006">
      <mc:Choice Requires="x14">
        <control shapeId="18453" r:id="rId29" name="obLevelInnerSecond">
          <controlPr defaultSize="0" autoFill="0" autoLine="0" autoPict="0">
            <anchor moveWithCells="1">
              <from>
                <xdr:col>11</xdr:col>
                <xdr:colOff>904875</xdr:colOff>
                <xdr:row>6</xdr:row>
                <xdr:rowOff>38100</xdr:rowOff>
              </from>
              <to>
                <xdr:col>11</xdr:col>
                <xdr:colOff>2105025</xdr:colOff>
                <xdr:row>6</xdr:row>
                <xdr:rowOff>257175</xdr:rowOff>
              </to>
            </anchor>
          </controlPr>
        </control>
      </mc:Choice>
    </mc:AlternateContent>
    <mc:AlternateContent xmlns:mc="http://schemas.openxmlformats.org/markup-compatibility/2006">
      <mc:Choice Requires="x14">
        <control shapeId="18454" r:id="rId30" name="cbUseDefaultLevelSecond">
          <controlPr defaultSize="0" autoFill="0" autoLine="0" autoPict="0">
            <anchor moveWithCells="1">
              <from>
                <xdr:col>2</xdr:col>
                <xdr:colOff>123825</xdr:colOff>
                <xdr:row>9</xdr:row>
                <xdr:rowOff>0</xdr:rowOff>
              </from>
              <to>
                <xdr:col>2</xdr:col>
                <xdr:colOff>1019175</xdr:colOff>
                <xdr:row>11</xdr:row>
                <xdr:rowOff>38100</xdr:rowOff>
              </to>
            </anchor>
          </controlPr>
        </control>
      </mc:Choice>
    </mc:AlternateContent>
    <mc:AlternateContent xmlns:mc="http://schemas.openxmlformats.org/markup-compatibility/2006">
      <mc:Choice Requires="x14">
        <control shapeId="18455" r:id="rId31" name="cbUseLeafLevelSecond">
          <controlPr defaultSize="0" autoFill="0" autoLine="0" autoPict="0">
            <anchor moveWithCells="1">
              <from>
                <xdr:col>2</xdr:col>
                <xdr:colOff>123825</xdr:colOff>
                <xdr:row>12</xdr:row>
                <xdr:rowOff>0</xdr:rowOff>
              </from>
              <to>
                <xdr:col>2</xdr:col>
                <xdr:colOff>1019175</xdr:colOff>
                <xdr:row>13</xdr:row>
                <xdr:rowOff>28575</xdr:rowOff>
              </to>
            </anchor>
          </controlPr>
        </control>
      </mc:Choice>
    </mc:AlternateContent>
    <mc:AlternateContent xmlns:mc="http://schemas.openxmlformats.org/markup-compatibility/2006">
      <mc:Choice Requires="x14">
        <control shapeId="18456" r:id="rId32" name="cbUseSpecificLevelSecond">
          <controlPr defaultSize="0" autoFill="0" autoLine="0" autoPict="0">
            <anchor moveWithCells="1">
              <from>
                <xdr:col>2</xdr:col>
                <xdr:colOff>123825</xdr:colOff>
                <xdr:row>12</xdr:row>
                <xdr:rowOff>0</xdr:rowOff>
              </from>
              <to>
                <xdr:col>2</xdr:col>
                <xdr:colOff>1019175</xdr:colOff>
                <xdr:row>12</xdr:row>
                <xdr:rowOff>219075</xdr:rowOff>
              </to>
            </anchor>
          </controlPr>
        </control>
      </mc:Choice>
    </mc:AlternateContent>
    <mc:AlternateContent xmlns:mc="http://schemas.openxmlformats.org/markup-compatibility/2006">
      <mc:Choice Requires="x14">
        <control shapeId="18460" r:id="rId33" name="Group Box 28">
          <controlPr defaultSize="0" autoPict="0">
            <anchor moveWithCells="1">
              <from>
                <xdr:col>1</xdr:col>
                <xdr:colOff>0</xdr:colOff>
                <xdr:row>22</xdr:row>
                <xdr:rowOff>0</xdr:rowOff>
              </from>
              <to>
                <xdr:col>11</xdr:col>
                <xdr:colOff>1285875</xdr:colOff>
                <xdr:row>23</xdr:row>
                <xdr:rowOff>0</xdr:rowOff>
              </to>
            </anchor>
          </controlPr>
        </control>
      </mc:Choice>
    </mc:AlternateContent>
    <mc:AlternateContent xmlns:mc="http://schemas.openxmlformats.org/markup-compatibility/2006">
      <mc:Choice Requires="x14">
        <control shapeId="18461" r:id="rId34" name="obMemberRowFirst">
          <controlPr defaultSize="0" autoFill="0" autoLine="0" autoPict="0" macro="_xll.IBPXLClient.TechnicalCategory.ButtonActionInIBPClientFormattingSheet">
            <anchor moveWithCells="1">
              <from>
                <xdr:col>3</xdr:col>
                <xdr:colOff>485775</xdr:colOff>
                <xdr:row>22</xdr:row>
                <xdr:rowOff>66675</xdr:rowOff>
              </from>
              <to>
                <xdr:col>3</xdr:col>
                <xdr:colOff>2628900</xdr:colOff>
                <xdr:row>22</xdr:row>
                <xdr:rowOff>276225</xdr:rowOff>
              </to>
            </anchor>
          </controlPr>
        </control>
      </mc:Choice>
    </mc:AlternateContent>
    <mc:AlternateContent xmlns:mc="http://schemas.openxmlformats.org/markup-compatibility/2006">
      <mc:Choice Requires="x14">
        <control shapeId="18462" r:id="rId35" name="obMemberColumnFirst">
          <controlPr defaultSize="0" autoFill="0" autoLine="0" autoPict="0" macro="_xll.IBPXLClient.TechnicalCategory.ButtonActionInIBPClientFormattingSheet">
            <anchor moveWithCells="1">
              <from>
                <xdr:col>1</xdr:col>
                <xdr:colOff>219075</xdr:colOff>
                <xdr:row>22</xdr:row>
                <xdr:rowOff>66675</xdr:rowOff>
              </from>
              <to>
                <xdr:col>3</xdr:col>
                <xdr:colOff>447675</xdr:colOff>
                <xdr:row>22</xdr:row>
                <xdr:rowOff>276225</xdr:rowOff>
              </to>
            </anchor>
          </controlPr>
        </control>
      </mc:Choice>
    </mc:AlternateContent>
    <mc:AlternateContent xmlns:mc="http://schemas.openxmlformats.org/markup-compatibility/2006">
      <mc:Choice Requires="x14">
        <control shapeId="18463" r:id="rId36" name="cbApplyCustomMemberDefaultFirst">
          <controlPr defaultSize="0" autoFill="0" autoLine="0" autoPict="0">
            <anchor moveWithCells="1">
              <from>
                <xdr:col>2</xdr:col>
                <xdr:colOff>123825</xdr:colOff>
                <xdr:row>24</xdr:row>
                <xdr:rowOff>200025</xdr:rowOff>
              </from>
              <to>
                <xdr:col>2</xdr:col>
                <xdr:colOff>1019175</xdr:colOff>
                <xdr:row>27</xdr:row>
                <xdr:rowOff>38100</xdr:rowOff>
              </to>
            </anchor>
          </controlPr>
        </control>
      </mc:Choice>
    </mc:AlternateContent>
    <mc:AlternateContent xmlns:mc="http://schemas.openxmlformats.org/markup-compatibility/2006">
      <mc:Choice Requires="x14">
        <control shapeId="18464" r:id="rId37" name="cbApplyCalculatedMemberFirst">
          <controlPr defaultSize="0" autoFill="0" autoLine="0" autoPict="0">
            <anchor moveWithCells="1">
              <from>
                <xdr:col>2</xdr:col>
                <xdr:colOff>123825</xdr:colOff>
                <xdr:row>25</xdr:row>
                <xdr:rowOff>0</xdr:rowOff>
              </from>
              <to>
                <xdr:col>2</xdr:col>
                <xdr:colOff>1019175</xdr:colOff>
                <xdr:row>28</xdr:row>
                <xdr:rowOff>9525</xdr:rowOff>
              </to>
            </anchor>
          </controlPr>
        </control>
      </mc:Choice>
    </mc:AlternateContent>
    <mc:AlternateContent xmlns:mc="http://schemas.openxmlformats.org/markup-compatibility/2006">
      <mc:Choice Requires="x14">
        <control shapeId="18465" r:id="rId38" name="cbApplyImputableMemberFirst">
          <controlPr defaultSize="0" autoFill="0" autoLine="0" autoPict="0">
            <anchor moveWithCells="1">
              <from>
                <xdr:col>2</xdr:col>
                <xdr:colOff>123825</xdr:colOff>
                <xdr:row>28</xdr:row>
                <xdr:rowOff>0</xdr:rowOff>
              </from>
              <to>
                <xdr:col>2</xdr:col>
                <xdr:colOff>1019175</xdr:colOff>
                <xdr:row>30</xdr:row>
                <xdr:rowOff>38100</xdr:rowOff>
              </to>
            </anchor>
          </controlPr>
        </control>
      </mc:Choice>
    </mc:AlternateContent>
    <mc:AlternateContent xmlns:mc="http://schemas.openxmlformats.org/markup-compatibility/2006">
      <mc:Choice Requires="x14">
        <control shapeId="18466" r:id="rId39" name="cbApplyLocalMemberFirst">
          <controlPr defaultSize="0" autoFill="0" autoLine="0" autoPict="0">
            <anchor moveWithCells="1">
              <from>
                <xdr:col>2</xdr:col>
                <xdr:colOff>123825</xdr:colOff>
                <xdr:row>31</xdr:row>
                <xdr:rowOff>0</xdr:rowOff>
              </from>
              <to>
                <xdr:col>2</xdr:col>
                <xdr:colOff>1019175</xdr:colOff>
                <xdr:row>33</xdr:row>
                <xdr:rowOff>38100</xdr:rowOff>
              </to>
            </anchor>
          </controlPr>
        </control>
      </mc:Choice>
    </mc:AlternateContent>
    <mc:AlternateContent xmlns:mc="http://schemas.openxmlformats.org/markup-compatibility/2006">
      <mc:Choice Requires="x14">
        <control shapeId="18467" r:id="rId40" name="cbApplyChangedMemberFirst">
          <controlPr defaultSize="0" autoFill="0" autoLine="0" autoPict="0">
            <anchor moveWithCells="1">
              <from>
                <xdr:col>2</xdr:col>
                <xdr:colOff>123825</xdr:colOff>
                <xdr:row>34</xdr:row>
                <xdr:rowOff>0</xdr:rowOff>
              </from>
              <to>
                <xdr:col>2</xdr:col>
                <xdr:colOff>1019175</xdr:colOff>
                <xdr:row>36</xdr:row>
                <xdr:rowOff>38100</xdr:rowOff>
              </to>
            </anchor>
          </controlPr>
        </control>
      </mc:Choice>
    </mc:AlternateContent>
    <mc:AlternateContent xmlns:mc="http://schemas.openxmlformats.org/markup-compatibility/2006">
      <mc:Choice Requires="x14">
        <control shapeId="18468" r:id="rId41" name="cbApplySpecificMemberFirst">
          <controlPr defaultSize="0" autoFill="0" autoLine="0" autoPict="0">
            <anchor moveWithCells="1">
              <from>
                <xdr:col>2</xdr:col>
                <xdr:colOff>123825</xdr:colOff>
                <xdr:row>37</xdr:row>
                <xdr:rowOff>47625</xdr:rowOff>
              </from>
              <to>
                <xdr:col>2</xdr:col>
                <xdr:colOff>1019175</xdr:colOff>
                <xdr:row>39</xdr:row>
                <xdr:rowOff>0</xdr:rowOff>
              </to>
            </anchor>
          </controlPr>
        </control>
      </mc:Choice>
    </mc:AlternateContent>
    <mc:AlternateContent xmlns:mc="http://schemas.openxmlformats.org/markup-compatibility/2006">
      <mc:Choice Requires="x14">
        <control shapeId="18469" r:id="rId42" name="AddMemberFirst">
          <controlPr defaultSize="0" print="0" autoFill="0" autoPict="0" macro="_xll.IBPXLClient.TechnicalCategory.ButtonActionInIBPClientFormattingSheet">
            <anchor moveWithCells="1" sizeWithCells="1">
              <from>
                <xdr:col>3</xdr:col>
                <xdr:colOff>66675</xdr:colOff>
                <xdr:row>45</xdr:row>
                <xdr:rowOff>28575</xdr:rowOff>
              </from>
              <to>
                <xdr:col>3</xdr:col>
                <xdr:colOff>4295775</xdr:colOff>
                <xdr:row>45</xdr:row>
                <xdr:rowOff>266700</xdr:rowOff>
              </to>
            </anchor>
          </controlPr>
        </control>
      </mc:Choice>
    </mc:AlternateContent>
    <mc:AlternateContent xmlns:mc="http://schemas.openxmlformats.org/markup-compatibility/2006">
      <mc:Choice Requires="x14">
        <control shapeId="18470" r:id="rId43" name="cbApplyCustomMemberDefaultSecond">
          <controlPr defaultSize="0" autoFill="0" autoLine="0" autoPict="0">
            <anchor moveWithCells="1">
              <from>
                <xdr:col>2</xdr:col>
                <xdr:colOff>123825</xdr:colOff>
                <xdr:row>49</xdr:row>
                <xdr:rowOff>0</xdr:rowOff>
              </from>
              <to>
                <xdr:col>2</xdr:col>
                <xdr:colOff>1019175</xdr:colOff>
                <xdr:row>51</xdr:row>
                <xdr:rowOff>38100</xdr:rowOff>
              </to>
            </anchor>
          </controlPr>
        </control>
      </mc:Choice>
    </mc:AlternateContent>
    <mc:AlternateContent xmlns:mc="http://schemas.openxmlformats.org/markup-compatibility/2006">
      <mc:Choice Requires="x14">
        <control shapeId="18471" r:id="rId44" name="cbApplyCalculatedMemberSecond">
          <controlPr defaultSize="0" autoFill="0" autoLine="0" autoPict="0">
            <anchor moveWithCells="1">
              <from>
                <xdr:col>2</xdr:col>
                <xdr:colOff>123825</xdr:colOff>
                <xdr:row>49</xdr:row>
                <xdr:rowOff>0</xdr:rowOff>
              </from>
              <to>
                <xdr:col>2</xdr:col>
                <xdr:colOff>1019175</xdr:colOff>
                <xdr:row>52</xdr:row>
                <xdr:rowOff>0</xdr:rowOff>
              </to>
            </anchor>
          </controlPr>
        </control>
      </mc:Choice>
    </mc:AlternateContent>
    <mc:AlternateContent xmlns:mc="http://schemas.openxmlformats.org/markup-compatibility/2006">
      <mc:Choice Requires="x14">
        <control shapeId="18472" r:id="rId45" name="cbApplyImputableMemberSecond">
          <controlPr defaultSize="0" autoFill="0" autoLine="0" autoPict="0">
            <anchor moveWithCells="1">
              <from>
                <xdr:col>2</xdr:col>
                <xdr:colOff>123825</xdr:colOff>
                <xdr:row>52</xdr:row>
                <xdr:rowOff>0</xdr:rowOff>
              </from>
              <to>
                <xdr:col>2</xdr:col>
                <xdr:colOff>1019175</xdr:colOff>
                <xdr:row>54</xdr:row>
                <xdr:rowOff>38100</xdr:rowOff>
              </to>
            </anchor>
          </controlPr>
        </control>
      </mc:Choice>
    </mc:AlternateContent>
    <mc:AlternateContent xmlns:mc="http://schemas.openxmlformats.org/markup-compatibility/2006">
      <mc:Choice Requires="x14">
        <control shapeId="18473" r:id="rId46" name="cbApplyLocalMemberSecond">
          <controlPr defaultSize="0" autoFill="0" autoLine="0" autoPict="0">
            <anchor moveWithCells="1">
              <from>
                <xdr:col>2</xdr:col>
                <xdr:colOff>123825</xdr:colOff>
                <xdr:row>55</xdr:row>
                <xdr:rowOff>0</xdr:rowOff>
              </from>
              <to>
                <xdr:col>2</xdr:col>
                <xdr:colOff>1019175</xdr:colOff>
                <xdr:row>57</xdr:row>
                <xdr:rowOff>38100</xdr:rowOff>
              </to>
            </anchor>
          </controlPr>
        </control>
      </mc:Choice>
    </mc:AlternateContent>
    <mc:AlternateContent xmlns:mc="http://schemas.openxmlformats.org/markup-compatibility/2006">
      <mc:Choice Requires="x14">
        <control shapeId="18474" r:id="rId47" name="cbApplyChangedMemberSecond">
          <controlPr defaultSize="0" autoFill="0" autoLine="0" autoPict="0">
            <anchor moveWithCells="1">
              <from>
                <xdr:col>2</xdr:col>
                <xdr:colOff>123825</xdr:colOff>
                <xdr:row>58</xdr:row>
                <xdr:rowOff>0</xdr:rowOff>
              </from>
              <to>
                <xdr:col>2</xdr:col>
                <xdr:colOff>1019175</xdr:colOff>
                <xdr:row>60</xdr:row>
                <xdr:rowOff>38100</xdr:rowOff>
              </to>
            </anchor>
          </controlPr>
        </control>
      </mc:Choice>
    </mc:AlternateContent>
    <mc:AlternateContent xmlns:mc="http://schemas.openxmlformats.org/markup-compatibility/2006">
      <mc:Choice Requires="x14">
        <control shapeId="18475" r:id="rId48" name="cbApplySpecificMemberSecond">
          <controlPr defaultSize="0" autoFill="0" autoLine="0" autoPict="0">
            <anchor moveWithCells="1">
              <from>
                <xdr:col>2</xdr:col>
                <xdr:colOff>123825</xdr:colOff>
                <xdr:row>61</xdr:row>
                <xdr:rowOff>47625</xdr:rowOff>
              </from>
              <to>
                <xdr:col>2</xdr:col>
                <xdr:colOff>1019175</xdr:colOff>
                <xdr:row>63</xdr:row>
                <xdr:rowOff>0</xdr:rowOff>
              </to>
            </anchor>
          </controlPr>
        </control>
      </mc:Choice>
    </mc:AlternateContent>
    <mc:AlternateContent xmlns:mc="http://schemas.openxmlformats.org/markup-compatibility/2006">
      <mc:Choice Requires="x14">
        <control shapeId="18476" r:id="rId49" name="AddMemberSecond">
          <controlPr defaultSize="0" print="0" autoFill="0" autoPict="0" macro="_xll.IBPXLClient.TechnicalCategory.ButtonActionInIBPClientFormattingSheet">
            <anchor moveWithCells="1" sizeWithCells="1">
              <from>
                <xdr:col>3</xdr:col>
                <xdr:colOff>66675</xdr:colOff>
                <xdr:row>84</xdr:row>
                <xdr:rowOff>28575</xdr:rowOff>
              </from>
              <to>
                <xdr:col>3</xdr:col>
                <xdr:colOff>4295775</xdr:colOff>
                <xdr:row>84</xdr:row>
                <xdr:rowOff>266700</xdr:rowOff>
              </to>
            </anchor>
          </controlPr>
        </control>
      </mc:Choice>
    </mc:AlternateContent>
    <mc:AlternateContent xmlns:mc="http://schemas.openxmlformats.org/markup-compatibility/2006">
      <mc:Choice Requires="x14">
        <control shapeId="18478" r:id="rId50" name="Group Box 46">
          <controlPr defaultSize="0" autoPict="0">
            <anchor moveWithCells="1">
              <from>
                <xdr:col>1</xdr:col>
                <xdr:colOff>0</xdr:colOff>
                <xdr:row>89</xdr:row>
                <xdr:rowOff>0</xdr:rowOff>
              </from>
              <to>
                <xdr:col>11</xdr:col>
                <xdr:colOff>1285875</xdr:colOff>
                <xdr:row>90</xdr:row>
                <xdr:rowOff>0</xdr:rowOff>
              </to>
            </anchor>
          </controlPr>
        </control>
      </mc:Choice>
    </mc:AlternateContent>
    <mc:AlternateContent xmlns:mc="http://schemas.openxmlformats.org/markup-compatibility/2006">
      <mc:Choice Requires="x14">
        <control shapeId="18479" r:id="rId51" name="obOddEvenRowFirst">
          <controlPr defaultSize="0" autoFill="0" autoLine="0" autoPict="0" macro="_xll.IBPXLClient.TechnicalCategory.ButtonActionInIBPClientFormattingSheet">
            <anchor moveWithCells="1">
              <from>
                <xdr:col>3</xdr:col>
                <xdr:colOff>485775</xdr:colOff>
                <xdr:row>89</xdr:row>
                <xdr:rowOff>66675</xdr:rowOff>
              </from>
              <to>
                <xdr:col>3</xdr:col>
                <xdr:colOff>2628900</xdr:colOff>
                <xdr:row>89</xdr:row>
                <xdr:rowOff>276225</xdr:rowOff>
              </to>
            </anchor>
          </controlPr>
        </control>
      </mc:Choice>
    </mc:AlternateContent>
    <mc:AlternateContent xmlns:mc="http://schemas.openxmlformats.org/markup-compatibility/2006">
      <mc:Choice Requires="x14">
        <control shapeId="18480" r:id="rId52" name="obOddEvenColumnFirst">
          <controlPr defaultSize="0" autoFill="0" autoLine="0" autoPict="0" macro="_xll.IBPXLClient.TechnicalCategory.ButtonActionInIBPClientFormattingSheet">
            <anchor moveWithCells="1">
              <from>
                <xdr:col>1</xdr:col>
                <xdr:colOff>219075</xdr:colOff>
                <xdr:row>89</xdr:row>
                <xdr:rowOff>66675</xdr:rowOff>
              </from>
              <to>
                <xdr:col>3</xdr:col>
                <xdr:colOff>447675</xdr:colOff>
                <xdr:row>89</xdr:row>
                <xdr:rowOff>276225</xdr:rowOff>
              </to>
            </anchor>
          </controlPr>
        </control>
      </mc:Choice>
    </mc:AlternateContent>
    <mc:AlternateContent xmlns:mc="http://schemas.openxmlformats.org/markup-compatibility/2006">
      <mc:Choice Requires="x14">
        <control shapeId="18481" r:id="rId53" name="cbUseOddFirst">
          <controlPr defaultSize="0" autoFill="0" autoLine="0" autoPict="0">
            <anchor moveWithCells="1">
              <from>
                <xdr:col>2</xdr:col>
                <xdr:colOff>123825</xdr:colOff>
                <xdr:row>92</xdr:row>
                <xdr:rowOff>0</xdr:rowOff>
              </from>
              <to>
                <xdr:col>2</xdr:col>
                <xdr:colOff>1019175</xdr:colOff>
                <xdr:row>94</xdr:row>
                <xdr:rowOff>38100</xdr:rowOff>
              </to>
            </anchor>
          </controlPr>
        </control>
      </mc:Choice>
    </mc:AlternateContent>
    <mc:AlternateContent xmlns:mc="http://schemas.openxmlformats.org/markup-compatibility/2006">
      <mc:Choice Requires="x14">
        <control shapeId="18482" r:id="rId54" name="cbUseEvenFirst">
          <controlPr defaultSize="0" autoFill="0" autoLine="0" autoPict="0">
            <anchor moveWithCells="1">
              <from>
                <xdr:col>2</xdr:col>
                <xdr:colOff>123825</xdr:colOff>
                <xdr:row>95</xdr:row>
                <xdr:rowOff>0</xdr:rowOff>
              </from>
              <to>
                <xdr:col>2</xdr:col>
                <xdr:colOff>1019175</xdr:colOff>
                <xdr:row>97</xdr:row>
                <xdr:rowOff>38100</xdr:rowOff>
              </to>
            </anchor>
          </controlPr>
        </control>
      </mc:Choice>
    </mc:AlternateContent>
    <mc:AlternateContent xmlns:mc="http://schemas.openxmlformats.org/markup-compatibility/2006">
      <mc:Choice Requires="x14">
        <control shapeId="18483" r:id="rId55" name="cbUseOddSecond">
          <controlPr defaultSize="0" autoFill="0" autoLine="0" autoPict="0">
            <anchor moveWithCells="1">
              <from>
                <xdr:col>2</xdr:col>
                <xdr:colOff>123825</xdr:colOff>
                <xdr:row>100</xdr:row>
                <xdr:rowOff>0</xdr:rowOff>
              </from>
              <to>
                <xdr:col>2</xdr:col>
                <xdr:colOff>1019175</xdr:colOff>
                <xdr:row>102</xdr:row>
                <xdr:rowOff>38100</xdr:rowOff>
              </to>
            </anchor>
          </controlPr>
        </control>
      </mc:Choice>
    </mc:AlternateContent>
    <mc:AlternateContent xmlns:mc="http://schemas.openxmlformats.org/markup-compatibility/2006">
      <mc:Choice Requires="x14">
        <control shapeId="18484" r:id="rId56" name="cbUseEvenSecond">
          <controlPr defaultSize="0" autoFill="0" autoLine="0" autoPict="0">
            <anchor moveWithCells="1">
              <from>
                <xdr:col>2</xdr:col>
                <xdr:colOff>123825</xdr:colOff>
                <xdr:row>102</xdr:row>
                <xdr:rowOff>47625</xdr:rowOff>
              </from>
              <to>
                <xdr:col>2</xdr:col>
                <xdr:colOff>1019175</xdr:colOff>
                <xdr:row>105</xdr:row>
                <xdr:rowOff>38100</xdr:rowOff>
              </to>
            </anchor>
          </controlPr>
        </control>
      </mc:Choice>
    </mc:AlternateContent>
    <mc:AlternateContent xmlns:mc="http://schemas.openxmlformats.org/markup-compatibility/2006">
      <mc:Choice Requires="x14">
        <control shapeId="18486" r:id="rId57" name="cbUseDefaultPageHeaderFormat">
          <controlPr defaultSize="0" autoFill="0" autoLine="0" autoPict="0">
            <anchor moveWithCells="1">
              <from>
                <xdr:col>2</xdr:col>
                <xdr:colOff>123825</xdr:colOff>
                <xdr:row>107</xdr:row>
                <xdr:rowOff>0</xdr:rowOff>
              </from>
              <to>
                <xdr:col>2</xdr:col>
                <xdr:colOff>1019175</xdr:colOff>
                <xdr:row>108</xdr:row>
                <xdr:rowOff>142875</xdr:rowOff>
              </to>
            </anchor>
          </controlPr>
        </control>
      </mc:Choice>
    </mc:AlternateContent>
    <mc:AlternateContent xmlns:mc="http://schemas.openxmlformats.org/markup-compatibility/2006">
      <mc:Choice Requires="x14">
        <control shapeId="18487" r:id="rId58" name="cbUseDimensionFormatting">
          <controlPr defaultSize="0" autoFill="0" autoLine="0" autoPict="0">
            <anchor moveWithCells="1">
              <from>
                <xdr:col>2</xdr:col>
                <xdr:colOff>123825</xdr:colOff>
                <xdr:row>107</xdr:row>
                <xdr:rowOff>0</xdr:rowOff>
              </from>
              <to>
                <xdr:col>2</xdr:col>
                <xdr:colOff>1019175</xdr:colOff>
                <xdr:row>108</xdr:row>
                <xdr:rowOff>66675</xdr:rowOff>
              </to>
            </anchor>
          </controlPr>
        </control>
      </mc:Choice>
    </mc:AlternateContent>
    <mc:AlternateContent xmlns:mc="http://schemas.openxmlformats.org/markup-compatibility/2006">
      <mc:Choice Requires="x14">
        <control shapeId="18561" r:id="rId59" name="AddedMember2_1">
          <controlPr defaultSize="0" print="0" autoFill="0" autoPict="0" macro="_xll.IBPXLClient.TechnicalCategory.ButtonActionInIBPClientFormattingSheet">
            <anchor moveWithCells="1">
              <from>
                <xdr:col>11</xdr:col>
                <xdr:colOff>2438400</xdr:colOff>
                <xdr:row>63</xdr:row>
                <xdr:rowOff>47625</xdr:rowOff>
              </from>
              <to>
                <xdr:col>12</xdr:col>
                <xdr:colOff>676275</xdr:colOff>
                <xdr:row>64</xdr:row>
                <xdr:rowOff>190500</xdr:rowOff>
              </to>
            </anchor>
          </controlPr>
        </control>
      </mc:Choice>
    </mc:AlternateContent>
    <mc:AlternateContent xmlns:mc="http://schemas.openxmlformats.org/markup-compatibility/2006">
      <mc:Choice Requires="x14">
        <control shapeId="18562" r:id="rId60" name="ChangeMember2_1">
          <controlPr defaultSize="0" print="0" autoFill="0" autoPict="0" macro="_xll.IBPXLClient.TechnicalCategory.ButtonActionInIBPClientFormattingSheet">
            <anchor moveWithCells="1">
              <from>
                <xdr:col>13</xdr:col>
                <xdr:colOff>0</xdr:colOff>
                <xdr:row>63</xdr:row>
                <xdr:rowOff>47625</xdr:rowOff>
              </from>
              <to>
                <xdr:col>13</xdr:col>
                <xdr:colOff>695325</xdr:colOff>
                <xdr:row>64</xdr:row>
                <xdr:rowOff>190500</xdr:rowOff>
              </to>
            </anchor>
          </controlPr>
        </control>
      </mc:Choice>
    </mc:AlternateContent>
    <mc:AlternateContent xmlns:mc="http://schemas.openxmlformats.org/markup-compatibility/2006">
      <mc:Choice Requires="x14">
        <control shapeId="18563" r:id="rId61" name="UpMember2_1">
          <controlPr defaultSize="0" print="0" autoFill="0" autoPict="0" macro="_xll.IBPXLClient.TechnicalCategory.ButtonActionInIBPClientFormattingSheet">
            <anchor moveWithCells="1">
              <from>
                <xdr:col>14</xdr:col>
                <xdr:colOff>0</xdr:colOff>
                <xdr:row>63</xdr:row>
                <xdr:rowOff>47625</xdr:rowOff>
              </from>
              <to>
                <xdr:col>14</xdr:col>
                <xdr:colOff>695325</xdr:colOff>
                <xdr:row>64</xdr:row>
                <xdr:rowOff>190500</xdr:rowOff>
              </to>
            </anchor>
          </controlPr>
        </control>
      </mc:Choice>
    </mc:AlternateContent>
    <mc:AlternateContent xmlns:mc="http://schemas.openxmlformats.org/markup-compatibility/2006">
      <mc:Choice Requires="x14">
        <control shapeId="18564" r:id="rId62" name="DownMember2_1">
          <controlPr defaultSize="0" print="0" autoFill="0" autoPict="0" macro="_xll.IBPXLClient.TechnicalCategory.ButtonActionInIBPClientFormattingSheet">
            <anchor moveWithCells="1">
              <from>
                <xdr:col>14</xdr:col>
                <xdr:colOff>714375</xdr:colOff>
                <xdr:row>63</xdr:row>
                <xdr:rowOff>47625</xdr:rowOff>
              </from>
              <to>
                <xdr:col>15</xdr:col>
                <xdr:colOff>676275</xdr:colOff>
                <xdr:row>64</xdr:row>
                <xdr:rowOff>190500</xdr:rowOff>
              </to>
            </anchor>
          </controlPr>
        </control>
      </mc:Choice>
    </mc:AlternateContent>
    <mc:AlternateContent xmlns:mc="http://schemas.openxmlformats.org/markup-compatibility/2006">
      <mc:Choice Requires="x14">
        <control shapeId="18565" r:id="rId63" name="AddedMember2_2">
          <controlPr defaultSize="0" print="0" autoFill="0" autoPict="0" macro="_xll.IBPXLClient.TechnicalCategory.ButtonActionInIBPClientFormattingSheet">
            <anchor moveWithCells="1">
              <from>
                <xdr:col>12</xdr:col>
                <xdr:colOff>0</xdr:colOff>
                <xdr:row>67</xdr:row>
                <xdr:rowOff>0</xdr:rowOff>
              </from>
              <to>
                <xdr:col>13</xdr:col>
                <xdr:colOff>0</xdr:colOff>
                <xdr:row>68</xdr:row>
                <xdr:rowOff>0</xdr:rowOff>
              </to>
            </anchor>
          </controlPr>
        </control>
      </mc:Choice>
    </mc:AlternateContent>
    <mc:AlternateContent xmlns:mc="http://schemas.openxmlformats.org/markup-compatibility/2006">
      <mc:Choice Requires="x14">
        <control shapeId="18566" r:id="rId64" name="ChangeMember2_2">
          <controlPr defaultSize="0" print="0" autoFill="0" autoPict="0" macro="_xll.IBPXLClient.TechnicalCategory.ButtonActionInIBPClientFormattingSheet">
            <anchor moveWithCells="1">
              <from>
                <xdr:col>12</xdr:col>
                <xdr:colOff>723900</xdr:colOff>
                <xdr:row>67</xdr:row>
                <xdr:rowOff>0</xdr:rowOff>
              </from>
              <to>
                <xdr:col>14</xdr:col>
                <xdr:colOff>0</xdr:colOff>
                <xdr:row>68</xdr:row>
                <xdr:rowOff>0</xdr:rowOff>
              </to>
            </anchor>
          </controlPr>
        </control>
      </mc:Choice>
    </mc:AlternateContent>
    <mc:AlternateContent xmlns:mc="http://schemas.openxmlformats.org/markup-compatibility/2006">
      <mc:Choice Requires="x14">
        <control shapeId="18567" r:id="rId65" name="UpMember2_2">
          <controlPr defaultSize="0" print="0" autoFill="0" autoPict="0" macro="_xll.IBPXLClient.TechnicalCategory.ButtonActionInIBPClientFormattingSheet">
            <anchor moveWithCells="1">
              <from>
                <xdr:col>14</xdr:col>
                <xdr:colOff>0</xdr:colOff>
                <xdr:row>67</xdr:row>
                <xdr:rowOff>0</xdr:rowOff>
              </from>
              <to>
                <xdr:col>15</xdr:col>
                <xdr:colOff>0</xdr:colOff>
                <xdr:row>68</xdr:row>
                <xdr:rowOff>0</xdr:rowOff>
              </to>
            </anchor>
          </controlPr>
        </control>
      </mc:Choice>
    </mc:AlternateContent>
    <mc:AlternateContent xmlns:mc="http://schemas.openxmlformats.org/markup-compatibility/2006">
      <mc:Choice Requires="x14">
        <control shapeId="18568" r:id="rId66"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8569" r:id="rId67" name="AddedMember2_3">
          <controlPr defaultSize="0" print="0" autoFill="0" autoPict="0" macro="_xll.IBPXLClient.TechnicalCategory.ButtonActionInIBPClientFormattingSheet">
            <anchor moveWithCells="1">
              <from>
                <xdr:col>12</xdr:col>
                <xdr:colOff>0</xdr:colOff>
                <xdr:row>69</xdr:row>
                <xdr:rowOff>66675</xdr:rowOff>
              </from>
              <to>
                <xdr:col>13</xdr:col>
                <xdr:colOff>0</xdr:colOff>
                <xdr:row>71</xdr:row>
                <xdr:rowOff>0</xdr:rowOff>
              </to>
            </anchor>
          </controlPr>
        </control>
      </mc:Choice>
    </mc:AlternateContent>
    <mc:AlternateContent xmlns:mc="http://schemas.openxmlformats.org/markup-compatibility/2006">
      <mc:Choice Requires="x14">
        <control shapeId="18570" r:id="rId68" name="ChangeMember2_3">
          <controlPr defaultSize="0" print="0" autoFill="0" autoPict="0" macro="_xll.IBPXLClient.TechnicalCategory.ButtonActionInIBPClientFormattingSheet">
            <anchor moveWithCells="1">
              <from>
                <xdr:col>12</xdr:col>
                <xdr:colOff>723900</xdr:colOff>
                <xdr:row>69</xdr:row>
                <xdr:rowOff>66675</xdr:rowOff>
              </from>
              <to>
                <xdr:col>14</xdr:col>
                <xdr:colOff>0</xdr:colOff>
                <xdr:row>71</xdr:row>
                <xdr:rowOff>0</xdr:rowOff>
              </to>
            </anchor>
          </controlPr>
        </control>
      </mc:Choice>
    </mc:AlternateContent>
    <mc:AlternateContent xmlns:mc="http://schemas.openxmlformats.org/markup-compatibility/2006">
      <mc:Choice Requires="x14">
        <control shapeId="18571" r:id="rId69" name="UpMember2_3">
          <controlPr defaultSize="0" print="0" autoFill="0" autoPict="0" macro="_xll.IBPXLClient.TechnicalCategory.ButtonActionInIBPClientFormattingSheet">
            <anchor moveWithCells="1">
              <from>
                <xdr:col>14</xdr:col>
                <xdr:colOff>0</xdr:colOff>
                <xdr:row>69</xdr:row>
                <xdr:rowOff>66675</xdr:rowOff>
              </from>
              <to>
                <xdr:col>15</xdr:col>
                <xdr:colOff>0</xdr:colOff>
                <xdr:row>71</xdr:row>
                <xdr:rowOff>0</xdr:rowOff>
              </to>
            </anchor>
          </controlPr>
        </control>
      </mc:Choice>
    </mc:AlternateContent>
    <mc:AlternateContent xmlns:mc="http://schemas.openxmlformats.org/markup-compatibility/2006">
      <mc:Choice Requires="x14">
        <control shapeId="18572" r:id="rId70" name="DownMember2_3">
          <controlPr defaultSize="0" print="0" autoFill="0" autoPict="0" macro="_xll.IBPXLClient.TechnicalCategory.ButtonActionInIBPClientFormattingSheet">
            <anchor moveWithCells="1">
              <from>
                <xdr:col>15</xdr:col>
                <xdr:colOff>0</xdr:colOff>
                <xdr:row>69</xdr:row>
                <xdr:rowOff>66675</xdr:rowOff>
              </from>
              <to>
                <xdr:col>16</xdr:col>
                <xdr:colOff>0</xdr:colOff>
                <xdr:row>71</xdr:row>
                <xdr:rowOff>0</xdr:rowOff>
              </to>
            </anchor>
          </controlPr>
        </control>
      </mc:Choice>
    </mc:AlternateContent>
    <mc:AlternateContent xmlns:mc="http://schemas.openxmlformats.org/markup-compatibility/2006">
      <mc:Choice Requires="x14">
        <control shapeId="18573" r:id="rId71" name="AddedMember2_4">
          <controlPr defaultSize="0" print="0" autoFill="0" autoPict="0" macro="_xll.IBPXLClient.TechnicalCategory.ButtonActionInIBPClientFormattingSheet">
            <anchor moveWithCells="1">
              <from>
                <xdr:col>12</xdr:col>
                <xdr:colOff>0</xdr:colOff>
                <xdr:row>72</xdr:row>
                <xdr:rowOff>66675</xdr:rowOff>
              </from>
              <to>
                <xdr:col>13</xdr:col>
                <xdr:colOff>0</xdr:colOff>
                <xdr:row>74</xdr:row>
                <xdr:rowOff>0</xdr:rowOff>
              </to>
            </anchor>
          </controlPr>
        </control>
      </mc:Choice>
    </mc:AlternateContent>
    <mc:AlternateContent xmlns:mc="http://schemas.openxmlformats.org/markup-compatibility/2006">
      <mc:Choice Requires="x14">
        <control shapeId="18574" r:id="rId72" name="ChangeMember2_4">
          <controlPr defaultSize="0" print="0" autoFill="0" autoPict="0" macro="_xll.IBPXLClient.TechnicalCategory.ButtonActionInIBPClientFormattingSheet">
            <anchor moveWithCells="1">
              <from>
                <xdr:col>12</xdr:col>
                <xdr:colOff>723900</xdr:colOff>
                <xdr:row>72</xdr:row>
                <xdr:rowOff>66675</xdr:rowOff>
              </from>
              <to>
                <xdr:col>14</xdr:col>
                <xdr:colOff>0</xdr:colOff>
                <xdr:row>74</xdr:row>
                <xdr:rowOff>0</xdr:rowOff>
              </to>
            </anchor>
          </controlPr>
        </control>
      </mc:Choice>
    </mc:AlternateContent>
    <mc:AlternateContent xmlns:mc="http://schemas.openxmlformats.org/markup-compatibility/2006">
      <mc:Choice Requires="x14">
        <control shapeId="18575" r:id="rId73" name="UpMember2_4">
          <controlPr defaultSize="0" print="0" autoFill="0" autoPict="0" macro="_xll.IBPXLClient.TechnicalCategory.ButtonActionInIBPClientFormattingSheet">
            <anchor moveWithCells="1">
              <from>
                <xdr:col>14</xdr:col>
                <xdr:colOff>0</xdr:colOff>
                <xdr:row>72</xdr:row>
                <xdr:rowOff>66675</xdr:rowOff>
              </from>
              <to>
                <xdr:col>15</xdr:col>
                <xdr:colOff>0</xdr:colOff>
                <xdr:row>74</xdr:row>
                <xdr:rowOff>0</xdr:rowOff>
              </to>
            </anchor>
          </controlPr>
        </control>
      </mc:Choice>
    </mc:AlternateContent>
    <mc:AlternateContent xmlns:mc="http://schemas.openxmlformats.org/markup-compatibility/2006">
      <mc:Choice Requires="x14">
        <control shapeId="18576" r:id="rId74" name="DownMember2_4">
          <controlPr defaultSize="0" print="0" autoFill="0" autoPict="0" macro="_xll.IBPXLClient.TechnicalCategory.ButtonActionInIBPClientFormattingSheet">
            <anchor moveWithCells="1">
              <from>
                <xdr:col>15</xdr:col>
                <xdr:colOff>0</xdr:colOff>
                <xdr:row>72</xdr:row>
                <xdr:rowOff>66675</xdr:rowOff>
              </from>
              <to>
                <xdr:col>16</xdr:col>
                <xdr:colOff>0</xdr:colOff>
                <xdr:row>74</xdr:row>
                <xdr:rowOff>0</xdr:rowOff>
              </to>
            </anchor>
          </controlPr>
        </control>
      </mc:Choice>
    </mc:AlternateContent>
    <mc:AlternateContent xmlns:mc="http://schemas.openxmlformats.org/markup-compatibility/2006">
      <mc:Choice Requires="x14">
        <control shapeId="18577" r:id="rId75" name="AddedMember2_5">
          <controlPr defaultSize="0" print="0" autoFill="0" autoPict="0" macro="_xll.IBPXLClient.TechnicalCategory.ButtonActionInIBPClientFormattingSheet">
            <anchor moveWithCells="1">
              <from>
                <xdr:col>12</xdr:col>
                <xdr:colOff>0</xdr:colOff>
                <xdr:row>76</xdr:row>
                <xdr:rowOff>0</xdr:rowOff>
              </from>
              <to>
                <xdr:col>13</xdr:col>
                <xdr:colOff>0</xdr:colOff>
                <xdr:row>77</xdr:row>
                <xdr:rowOff>9525</xdr:rowOff>
              </to>
            </anchor>
          </controlPr>
        </control>
      </mc:Choice>
    </mc:AlternateContent>
    <mc:AlternateContent xmlns:mc="http://schemas.openxmlformats.org/markup-compatibility/2006">
      <mc:Choice Requires="x14">
        <control shapeId="18578" r:id="rId76" name="ChangeMember2_5">
          <controlPr defaultSize="0" print="0" autoFill="0" autoPict="0" macro="_xll.IBPXLClient.TechnicalCategory.ButtonActionInIBPClientFormattingSheet">
            <anchor moveWithCells="1">
              <from>
                <xdr:col>12</xdr:col>
                <xdr:colOff>723900</xdr:colOff>
                <xdr:row>76</xdr:row>
                <xdr:rowOff>0</xdr:rowOff>
              </from>
              <to>
                <xdr:col>14</xdr:col>
                <xdr:colOff>0</xdr:colOff>
                <xdr:row>77</xdr:row>
                <xdr:rowOff>9525</xdr:rowOff>
              </to>
            </anchor>
          </controlPr>
        </control>
      </mc:Choice>
    </mc:AlternateContent>
    <mc:AlternateContent xmlns:mc="http://schemas.openxmlformats.org/markup-compatibility/2006">
      <mc:Choice Requires="x14">
        <control shapeId="18579" r:id="rId77" name="UpMember2_5">
          <controlPr defaultSize="0" print="0" autoFill="0" autoPict="0" macro="_xll.IBPXLClient.TechnicalCategory.ButtonActionInIBPClientFormattingSheet">
            <anchor moveWithCells="1">
              <from>
                <xdr:col>14</xdr:col>
                <xdr:colOff>0</xdr:colOff>
                <xdr:row>76</xdr:row>
                <xdr:rowOff>0</xdr:rowOff>
              </from>
              <to>
                <xdr:col>15</xdr:col>
                <xdr:colOff>0</xdr:colOff>
                <xdr:row>77</xdr:row>
                <xdr:rowOff>9525</xdr:rowOff>
              </to>
            </anchor>
          </controlPr>
        </control>
      </mc:Choice>
    </mc:AlternateContent>
    <mc:AlternateContent xmlns:mc="http://schemas.openxmlformats.org/markup-compatibility/2006">
      <mc:Choice Requires="x14">
        <control shapeId="18580" r:id="rId78"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9525</xdr:rowOff>
              </to>
            </anchor>
          </controlPr>
        </control>
      </mc:Choice>
    </mc:AlternateContent>
    <mc:AlternateContent xmlns:mc="http://schemas.openxmlformats.org/markup-compatibility/2006">
      <mc:Choice Requires="x14">
        <control shapeId="18581" r:id="rId79" name="AddedMember2_6">
          <controlPr defaultSize="0" print="0" autoFill="0" autoPict="0" macro="_xll.IBPXLClient.TechnicalCategory.ButtonActionInIBPClientFormattingSheet">
            <anchor moveWithCells="1">
              <from>
                <xdr:col>12</xdr:col>
                <xdr:colOff>0</xdr:colOff>
                <xdr:row>79</xdr:row>
                <xdr:rowOff>0</xdr:rowOff>
              </from>
              <to>
                <xdr:col>13</xdr:col>
                <xdr:colOff>0</xdr:colOff>
                <xdr:row>80</xdr:row>
                <xdr:rowOff>9525</xdr:rowOff>
              </to>
            </anchor>
          </controlPr>
        </control>
      </mc:Choice>
    </mc:AlternateContent>
    <mc:AlternateContent xmlns:mc="http://schemas.openxmlformats.org/markup-compatibility/2006">
      <mc:Choice Requires="x14">
        <control shapeId="18582" r:id="rId80" name="ChangeMember2_6">
          <controlPr defaultSize="0" print="0" autoFill="0" autoPict="0" macro="_xll.IBPXLClient.TechnicalCategory.ButtonActionInIBPClientFormattingSheet">
            <anchor moveWithCells="1">
              <from>
                <xdr:col>12</xdr:col>
                <xdr:colOff>723900</xdr:colOff>
                <xdr:row>79</xdr:row>
                <xdr:rowOff>0</xdr:rowOff>
              </from>
              <to>
                <xdr:col>14</xdr:col>
                <xdr:colOff>0</xdr:colOff>
                <xdr:row>80</xdr:row>
                <xdr:rowOff>9525</xdr:rowOff>
              </to>
            </anchor>
          </controlPr>
        </control>
      </mc:Choice>
    </mc:AlternateContent>
    <mc:AlternateContent xmlns:mc="http://schemas.openxmlformats.org/markup-compatibility/2006">
      <mc:Choice Requires="x14">
        <control shapeId="18583" r:id="rId81" name="UpMember2_6">
          <controlPr defaultSize="0" print="0" autoFill="0" autoPict="0" macro="_xll.IBPXLClient.TechnicalCategory.ButtonActionInIBPClientFormattingSheet">
            <anchor moveWithCells="1">
              <from>
                <xdr:col>14</xdr:col>
                <xdr:colOff>0</xdr:colOff>
                <xdr:row>79</xdr:row>
                <xdr:rowOff>0</xdr:rowOff>
              </from>
              <to>
                <xdr:col>15</xdr:col>
                <xdr:colOff>0</xdr:colOff>
                <xdr:row>80</xdr:row>
                <xdr:rowOff>9525</xdr:rowOff>
              </to>
            </anchor>
          </controlPr>
        </control>
      </mc:Choice>
    </mc:AlternateContent>
    <mc:AlternateContent xmlns:mc="http://schemas.openxmlformats.org/markup-compatibility/2006">
      <mc:Choice Requires="x14">
        <control shapeId="18584" r:id="rId82"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9525</xdr:rowOff>
              </to>
            </anchor>
          </controlPr>
        </control>
      </mc:Choice>
    </mc:AlternateContent>
    <mc:AlternateContent xmlns:mc="http://schemas.openxmlformats.org/markup-compatibility/2006">
      <mc:Choice Requires="x14">
        <control shapeId="18585" r:id="rId83" name="AddedMember2_7">
          <controlPr defaultSize="0" print="0" autoFill="0" autoPict="0" macro="_xll.IBPXLClient.TechnicalCategory.ButtonActionInIBPClientFormattingSheet">
            <anchor moveWithCells="1">
              <from>
                <xdr:col>12</xdr:col>
                <xdr:colOff>0</xdr:colOff>
                <xdr:row>82</xdr:row>
                <xdr:rowOff>0</xdr:rowOff>
              </from>
              <to>
                <xdr:col>13</xdr:col>
                <xdr:colOff>0</xdr:colOff>
                <xdr:row>83</xdr:row>
                <xdr:rowOff>0</xdr:rowOff>
              </to>
            </anchor>
          </controlPr>
        </control>
      </mc:Choice>
    </mc:AlternateContent>
    <mc:AlternateContent xmlns:mc="http://schemas.openxmlformats.org/markup-compatibility/2006">
      <mc:Choice Requires="x14">
        <control shapeId="18586" r:id="rId84" name="ChangeMember2_7">
          <controlPr defaultSize="0" print="0" autoFill="0" autoPict="0" macro="_xll.IBPXLClient.TechnicalCategory.ButtonActionInIBPClientFormattingSheet">
            <anchor moveWithCells="1">
              <from>
                <xdr:col>12</xdr:col>
                <xdr:colOff>723900</xdr:colOff>
                <xdr:row>82</xdr:row>
                <xdr:rowOff>0</xdr:rowOff>
              </from>
              <to>
                <xdr:col>14</xdr:col>
                <xdr:colOff>0</xdr:colOff>
                <xdr:row>83</xdr:row>
                <xdr:rowOff>0</xdr:rowOff>
              </to>
            </anchor>
          </controlPr>
        </control>
      </mc:Choice>
    </mc:AlternateContent>
    <mc:AlternateContent xmlns:mc="http://schemas.openxmlformats.org/markup-compatibility/2006">
      <mc:Choice Requires="x14">
        <control shapeId="18587" r:id="rId85" name="UpMember2_7">
          <controlPr defaultSize="0" print="0" autoFill="0" autoPict="0" macro="_xll.IBPXLClient.TechnicalCategory.ButtonActionInIBPClientFormattingSheet">
            <anchor moveWithCells="1">
              <from>
                <xdr:col>14</xdr:col>
                <xdr:colOff>0</xdr:colOff>
                <xdr:row>82</xdr:row>
                <xdr:rowOff>0</xdr:rowOff>
              </from>
              <to>
                <xdr:col>15</xdr:col>
                <xdr:colOff>0</xdr:colOff>
                <xdr:row>83</xdr:row>
                <xdr:rowOff>0</xdr:rowOff>
              </to>
            </anchor>
          </controlPr>
        </control>
      </mc:Choice>
    </mc:AlternateContent>
    <mc:AlternateContent xmlns:mc="http://schemas.openxmlformats.org/markup-compatibility/2006">
      <mc:Choice Requires="x14">
        <control shapeId="18588" r:id="rId86"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18609" r:id="rId87" name="AddedMember1_1">
          <controlPr defaultSize="0" print="0" autoFill="0" autoPict="0" macro="_xll.IBPXLClient.TechnicalCategory.ButtonActionInIBPClientFormattingSheet">
            <anchor moveWithCells="1">
              <from>
                <xdr:col>12</xdr:col>
                <xdr:colOff>0</xdr:colOff>
                <xdr:row>39</xdr:row>
                <xdr:rowOff>66675</xdr:rowOff>
              </from>
              <to>
                <xdr:col>13</xdr:col>
                <xdr:colOff>0</xdr:colOff>
                <xdr:row>41</xdr:row>
                <xdr:rowOff>0</xdr:rowOff>
              </to>
            </anchor>
          </controlPr>
        </control>
      </mc:Choice>
    </mc:AlternateContent>
    <mc:AlternateContent xmlns:mc="http://schemas.openxmlformats.org/markup-compatibility/2006">
      <mc:Choice Requires="x14">
        <control shapeId="18610" r:id="rId88" name="ChangeMember1_1">
          <controlPr defaultSize="0" print="0" autoFill="0" autoPict="0" macro="_xll.IBPXLClient.TechnicalCategory.ButtonActionInIBPClientFormattingSheet">
            <anchor moveWithCells="1">
              <from>
                <xdr:col>12</xdr:col>
                <xdr:colOff>723900</xdr:colOff>
                <xdr:row>39</xdr:row>
                <xdr:rowOff>66675</xdr:rowOff>
              </from>
              <to>
                <xdr:col>14</xdr:col>
                <xdr:colOff>0</xdr:colOff>
                <xdr:row>41</xdr:row>
                <xdr:rowOff>0</xdr:rowOff>
              </to>
            </anchor>
          </controlPr>
        </control>
      </mc:Choice>
    </mc:AlternateContent>
    <mc:AlternateContent xmlns:mc="http://schemas.openxmlformats.org/markup-compatibility/2006">
      <mc:Choice Requires="x14">
        <control shapeId="18611" r:id="rId89" name="UpMember1_1">
          <controlPr defaultSize="0" print="0" autoFill="0" autoPict="0" macro="_xll.IBPXLClient.TechnicalCategory.ButtonActionInIBPClientFormattingSheet">
            <anchor moveWithCells="1">
              <from>
                <xdr:col>14</xdr:col>
                <xdr:colOff>0</xdr:colOff>
                <xdr:row>39</xdr:row>
                <xdr:rowOff>66675</xdr:rowOff>
              </from>
              <to>
                <xdr:col>15</xdr:col>
                <xdr:colOff>0</xdr:colOff>
                <xdr:row>41</xdr:row>
                <xdr:rowOff>0</xdr:rowOff>
              </to>
            </anchor>
          </controlPr>
        </control>
      </mc:Choice>
    </mc:AlternateContent>
    <mc:AlternateContent xmlns:mc="http://schemas.openxmlformats.org/markup-compatibility/2006">
      <mc:Choice Requires="x14">
        <control shapeId="18612" r:id="rId90" name="DownMember1_1">
          <controlPr defaultSize="0" print="0" autoFill="0" autoPict="0" macro="_xll.IBPXLClient.TechnicalCategory.ButtonActionInIBPClientFormattingSheet">
            <anchor moveWithCells="1">
              <from>
                <xdr:col>15</xdr:col>
                <xdr:colOff>0</xdr:colOff>
                <xdr:row>39</xdr:row>
                <xdr:rowOff>66675</xdr:rowOff>
              </from>
              <to>
                <xdr:col>16</xdr:col>
                <xdr:colOff>0</xdr:colOff>
                <xdr:row>41</xdr:row>
                <xdr:rowOff>0</xdr:rowOff>
              </to>
            </anchor>
          </controlPr>
        </control>
      </mc:Choice>
    </mc:AlternateContent>
    <mc:AlternateContent xmlns:mc="http://schemas.openxmlformats.org/markup-compatibility/2006">
      <mc:Choice Requires="x14">
        <control shapeId="18650" r:id="rId91" name="AddedMember1_2">
          <controlPr defaultSize="0" print="0" autoFill="0" autoPict="0" macro="_xll.IBPXLClient.TechnicalCategory.ButtonActionInIBPClientFormattingSheet">
            <anchor moveWithCells="1">
              <from>
                <xdr:col>11</xdr:col>
                <xdr:colOff>2438400</xdr:colOff>
                <xdr:row>43</xdr:row>
                <xdr:rowOff>0</xdr:rowOff>
              </from>
              <to>
                <xdr:col>12</xdr:col>
                <xdr:colOff>676275</xdr:colOff>
                <xdr:row>44</xdr:row>
                <xdr:rowOff>0</xdr:rowOff>
              </to>
            </anchor>
          </controlPr>
        </control>
      </mc:Choice>
    </mc:AlternateContent>
    <mc:AlternateContent xmlns:mc="http://schemas.openxmlformats.org/markup-compatibility/2006">
      <mc:Choice Requires="x14">
        <control shapeId="18651" r:id="rId92" name="ChangeMember1_2">
          <controlPr defaultSize="0" print="0" autoFill="0" autoPict="0" macro="_xll.IBPXLClient.TechnicalCategory.ButtonActionInIBPClientFormattingSheet">
            <anchor moveWithCells="1">
              <from>
                <xdr:col>13</xdr:col>
                <xdr:colOff>0</xdr:colOff>
                <xdr:row>43</xdr:row>
                <xdr:rowOff>0</xdr:rowOff>
              </from>
              <to>
                <xdr:col>13</xdr:col>
                <xdr:colOff>685800</xdr:colOff>
                <xdr:row>44</xdr:row>
                <xdr:rowOff>0</xdr:rowOff>
              </to>
            </anchor>
          </controlPr>
        </control>
      </mc:Choice>
    </mc:AlternateContent>
    <mc:AlternateContent xmlns:mc="http://schemas.openxmlformats.org/markup-compatibility/2006">
      <mc:Choice Requires="x14">
        <control shapeId="18652" r:id="rId93" name="UpMember1_2">
          <controlPr defaultSize="0" print="0" autoFill="0" autoPict="0" macro="_xll.IBPXLClient.TechnicalCategory.ButtonActionInIBPClientFormattingSheet">
            <anchor moveWithCells="1">
              <from>
                <xdr:col>14</xdr:col>
                <xdr:colOff>0</xdr:colOff>
                <xdr:row>43</xdr:row>
                <xdr:rowOff>0</xdr:rowOff>
              </from>
              <to>
                <xdr:col>14</xdr:col>
                <xdr:colOff>685800</xdr:colOff>
                <xdr:row>44</xdr:row>
                <xdr:rowOff>0</xdr:rowOff>
              </to>
            </anchor>
          </controlPr>
        </control>
      </mc:Choice>
    </mc:AlternateContent>
    <mc:AlternateContent xmlns:mc="http://schemas.openxmlformats.org/markup-compatibility/2006">
      <mc:Choice Requires="x14">
        <control shapeId="18653" r:id="rId94" name="DownMember1_2">
          <controlPr defaultSize="0" print="0" autoFill="0" autoPict="0" macro="_xll.IBPXLClient.TechnicalCategory.ButtonActionInIBPClientFormattingSheet">
            <anchor moveWithCells="1">
              <from>
                <xdr:col>14</xdr:col>
                <xdr:colOff>714375</xdr:colOff>
                <xdr:row>43</xdr:row>
                <xdr:rowOff>0</xdr:rowOff>
              </from>
              <to>
                <xdr:col>15</xdr:col>
                <xdr:colOff>676275</xdr:colOff>
                <xdr:row>44</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DJ77"/>
  <sheetViews>
    <sheetView showGridLines="0" tabSelected="1" zoomScaleNormal="100" workbookViewId="0">
      <pane xSplit="10" ySplit="5" topLeftCell="K6" activePane="bottomRight" state="frozen"/>
      <selection pane="bottomRight" activeCell="Q2" sqref="Q2"/>
      <selection pane="bottomLeft" activeCell="A6" sqref="A6"/>
      <selection pane="topRight" activeCell="G1" sqref="G1"/>
    </sheetView>
  </sheetViews>
  <sheetFormatPr defaultRowHeight="15"/>
  <cols>
    <col min="1" max="6" width="1.42578125" bestFit="1" customWidth="1"/>
    <col min="7" max="7" width="10.140625" bestFit="1" customWidth="1"/>
    <col min="8" max="8" width="10.7109375" bestFit="1" customWidth="1"/>
    <col min="9" max="9" width="11.85546875" bestFit="1" customWidth="1"/>
    <col min="10" max="10" width="36.140625" bestFit="1" customWidth="1"/>
    <col min="11" max="31" width="13.140625" bestFit="1" customWidth="1"/>
    <col min="32" max="44" width="14.140625" bestFit="1" customWidth="1"/>
    <col min="45" max="83" width="13.140625" bestFit="1" customWidth="1"/>
    <col min="84" max="96" width="14.140625" bestFit="1" customWidth="1"/>
    <col min="97" max="114" width="13.140625" bestFit="1" customWidth="1"/>
  </cols>
  <sheetData>
    <row r="1" spans="1:114" s="25" customFormat="1" ht="28.5">
      <c r="A1" s="96" t="s">
        <v>192</v>
      </c>
      <c r="B1" s="97"/>
      <c r="C1" s="97"/>
      <c r="D1" s="97"/>
      <c r="E1" s="97"/>
      <c r="F1" s="97"/>
      <c r="G1" s="97"/>
      <c r="H1" s="97"/>
      <c r="I1" s="97"/>
      <c r="J1" s="97"/>
      <c r="K1" s="98" t="str">
        <f>" "&amp;IFERROR(IF(SOP_Favorite_Name&lt;&gt;" ",SOP_Favorite_Name,IF(SOP_Template_Name&lt;&gt;" ",SOP_Template_Name,"Ad Hoc Planning View")),"Offline")</f>
        <v xml:space="preserve"> DP 120 Statistical Forecast</v>
      </c>
      <c r="L1" s="98"/>
      <c r="M1" s="98"/>
      <c r="N1" s="98"/>
      <c r="O1" s="98"/>
      <c r="P1" s="98"/>
      <c r="Q1" s="99" t="str">
        <f>"User: "&amp;_xll.IBPUser()&amp;"   |    Planning Area: "&amp;IFERROR(SOP_Planning_Area,"Offline")&amp;"
"&amp;"Template: "&amp;IFERROR(SOP_Template_Name,"none")</f>
        <v>User: #Error, no current connection.   |    Planning Area: UPA2208
Template: DP 120 Statistical Forecast</v>
      </c>
      <c r="R1" s="99"/>
      <c r="S1" s="99"/>
      <c r="T1" s="99"/>
      <c r="U1" s="99"/>
      <c r="V1" s="99"/>
      <c r="W1" s="35"/>
      <c r="X1" s="24"/>
      <c r="Y1" s="24"/>
      <c r="Z1" s="24"/>
      <c r="AA1" s="24"/>
      <c r="AB1" s="24"/>
      <c r="AC1" s="24"/>
      <c r="AD1" s="24"/>
      <c r="BR1" s="26"/>
      <c r="BS1" s="26"/>
      <c r="BT1" s="26"/>
      <c r="BU1" s="26"/>
      <c r="BV1" s="26"/>
      <c r="BW1" s="26"/>
      <c r="BX1" s="26"/>
      <c r="BY1" s="26"/>
      <c r="BZ1" s="26"/>
      <c r="CA1" s="26"/>
      <c r="CB1" s="26"/>
      <c r="CC1" s="26"/>
      <c r="CD1" s="26"/>
    </row>
    <row r="2" spans="1:114" s="25" customFormat="1" ht="28.35" customHeight="1">
      <c r="A2" s="100"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(Ad Hoc Filter) (1 criteria): 
ABC Code = A
</v>
      </c>
      <c r="B2" s="100"/>
      <c r="C2" s="100"/>
      <c r="D2" s="100"/>
      <c r="E2" s="100"/>
      <c r="F2" s="100"/>
      <c r="G2" s="100"/>
      <c r="H2" s="100"/>
      <c r="I2" s="100"/>
      <c r="J2" s="102" t="str">
        <f>"UOM:  "&amp;SOP_TargetUoM &amp;CHAR(10) &amp;"Currency:  " &amp; SOP_TargetCurrency</f>
        <v>UOM:  EA
Currency:  USD</v>
      </c>
      <c r="K2" s="102"/>
      <c r="L2" s="52"/>
      <c r="M2" s="52"/>
      <c r="N2" s="52"/>
      <c r="O2" s="52"/>
      <c r="P2" s="52"/>
      <c r="Q2" s="53"/>
      <c r="R2" s="53"/>
      <c r="S2" s="53"/>
      <c r="T2" s="53"/>
      <c r="U2" s="53"/>
      <c r="V2" s="53"/>
      <c r="W2" s="35"/>
      <c r="X2" s="24"/>
      <c r="Y2" s="24"/>
      <c r="Z2" s="24"/>
      <c r="AA2" s="24"/>
      <c r="AB2" s="24"/>
      <c r="AC2" s="24"/>
      <c r="AD2" s="24"/>
      <c r="BR2" s="26"/>
      <c r="BS2" s="26"/>
      <c r="BT2" s="26"/>
      <c r="BU2" s="26"/>
      <c r="BV2" s="26"/>
      <c r="BW2" s="26"/>
      <c r="BX2" s="26"/>
      <c r="BY2" s="26"/>
      <c r="BZ2" s="26"/>
      <c r="CA2" s="26"/>
      <c r="CB2" s="26"/>
      <c r="CC2" s="26"/>
      <c r="CD2" s="26"/>
    </row>
    <row r="3" spans="1:114" s="25" customFormat="1" ht="24.75" customHeight="1">
      <c r="A3" s="100" t="str">
        <f>"Value-Based Filter: "&amp;SOP_Value_Based_Filter_Name&amp;": "&amp;" 
"&amp;IFERROR(INDEX(SOP_Value_Based_Filter,1),"")</f>
        <v xml:space="preserve">Value-Based Filter: (None):  
 </v>
      </c>
      <c r="B3" s="100"/>
      <c r="C3" s="100"/>
      <c r="D3" s="100"/>
      <c r="E3" s="100"/>
      <c r="F3" s="100"/>
      <c r="G3" s="100"/>
      <c r="H3" s="100"/>
      <c r="I3" s="100"/>
      <c r="J3" s="100"/>
      <c r="K3" s="101" t="str">
        <f>"  Last Refresh: "&amp;IFERROR(YEAR(SOP_Refresh_Timestamp)&amp;"-"&amp;TEXT(SOP_Refresh_Timestamp,"MMM")&amp;"-"&amp;DAY(SOP_Refresh_Timestamp)&amp;"   "&amp;TEXT(SOP_Refresh_Timestamp,"HH:MM:SS"),"Offline")</f>
        <v xml:space="preserve">  Last Refresh: 2022-May-9   14:06:35</v>
      </c>
      <c r="L3" s="101"/>
      <c r="M3" s="101"/>
      <c r="N3" s="101"/>
      <c r="O3" s="101"/>
      <c r="P3" s="101"/>
      <c r="Q3" s="101"/>
      <c r="R3" s="101"/>
      <c r="S3" s="101"/>
      <c r="T3" s="101"/>
      <c r="U3" s="101"/>
      <c r="V3" s="101"/>
      <c r="W3" s="35"/>
      <c r="X3" s="24"/>
      <c r="Y3" s="24"/>
      <c r="Z3" s="24"/>
      <c r="AA3" s="24"/>
      <c r="AB3" s="24"/>
      <c r="AC3" s="24"/>
      <c r="AD3" s="24"/>
      <c r="BR3" s="26"/>
      <c r="BS3" s="26"/>
      <c r="BT3" s="26"/>
      <c r="BU3" s="26"/>
      <c r="BV3" s="26"/>
      <c r="BW3" s="26"/>
      <c r="BX3" s="26"/>
      <c r="BY3" s="26"/>
      <c r="BZ3" s="26"/>
      <c r="CA3" s="26"/>
      <c r="CB3" s="26"/>
      <c r="CC3" s="26"/>
      <c r="CD3" s="26"/>
    </row>
    <row r="4" spans="1:114" s="23" customFormat="1" ht="166.5" customHeight="1">
      <c r="A4" s="95"/>
      <c r="B4" s="95"/>
      <c r="C4" s="95"/>
      <c r="D4" s="95"/>
      <c r="E4" s="95"/>
      <c r="F4" s="95"/>
      <c r="G4" s="95"/>
      <c r="H4" s="95"/>
      <c r="I4" s="95"/>
      <c r="J4" s="95"/>
    </row>
    <row r="5" spans="1:114" s="28" customFormat="1">
      <c r="A5" s="27" t="str">
        <f>SOP_Heading10</f>
        <v xml:space="preserve"> </v>
      </c>
      <c r="B5" s="27" t="str">
        <f>SOP_Heading9</f>
        <v xml:space="preserve"> </v>
      </c>
      <c r="C5" s="27" t="str">
        <f>SOP_Heading8</f>
        <v xml:space="preserve"> </v>
      </c>
      <c r="D5" s="27" t="str">
        <f>SOP_Heading7</f>
        <v xml:space="preserve"> </v>
      </c>
      <c r="E5" s="27" t="str">
        <f>SOP_Heading6</f>
        <v xml:space="preserve"> </v>
      </c>
      <c r="F5" s="27" t="str">
        <f>SOP_Heading5</f>
        <v xml:space="preserve"> </v>
      </c>
      <c r="G5" s="27" t="str">
        <f>SOP_Heading4</f>
        <v>Product ID</v>
      </c>
      <c r="H5" s="27" t="str">
        <f>SOP_Heading3</f>
        <v>Location ID</v>
      </c>
      <c r="I5" s="27" t="str">
        <f>SOP_Heading2</f>
        <v>Customer ID</v>
      </c>
      <c r="J5" s="27" t="str">
        <f>SOP_Heading1</f>
        <v>Key Figure</v>
      </c>
      <c r="K5" s="33" t="str">
        <f xml:space="preserve"> _xll.EPMOlapMemberO("[PERIODID4].[].[200383]","","CW19 M5 2021","","000")</f>
        <v>CW19 M5 2021</v>
      </c>
      <c r="L5" s="33" t="str">
        <f xml:space="preserve"> _xll.EPMOlapMemberO("[PERIODID4].[].[200384]","","CW20 M5 2021","","000")</f>
        <v>CW20 M5 2021</v>
      </c>
      <c r="M5" s="33" t="str">
        <f xml:space="preserve"> _xll.EPMOlapMemberO("[PERIODID4].[].[200385]","","CW21 M5 2021","","000")</f>
        <v>CW21 M5 2021</v>
      </c>
      <c r="N5" s="33" t="str">
        <f xml:space="preserve"> _xll.EPMOlapMemberO("[PERIODID4].[].[200386]","","CW22 M6 2021","","000")</f>
        <v>CW22 M6 2021</v>
      </c>
      <c r="O5" s="33" t="str">
        <f xml:space="preserve"> _xll.EPMOlapMemberO("[PERIODID4].[].[200387]","","CW23 M6 2021","","000")</f>
        <v>CW23 M6 2021</v>
      </c>
      <c r="P5" s="33" t="str">
        <f xml:space="preserve"> _xll.EPMOlapMemberO("[PERIODID4].[].[200388]","","CW24 M6 2021","","000")</f>
        <v>CW24 M6 2021</v>
      </c>
      <c r="Q5" s="33" t="str">
        <f xml:space="preserve"> _xll.EPMOlapMemberO("[PERIODID4].[].[200389]","","CW25 M6 2021","","000")</f>
        <v>CW25 M6 2021</v>
      </c>
      <c r="R5" s="33" t="str">
        <f xml:space="preserve"> _xll.EPMOlapMemberO("[PERIODID4].[].[200390]","","CW26 M6 2021","","000")</f>
        <v>CW26 M6 2021</v>
      </c>
      <c r="S5" s="33" t="str">
        <f xml:space="preserve"> _xll.EPMOlapMemberO("[PERIODID4].[].[200391]","","CW27 M7 2021","","000")</f>
        <v>CW27 M7 2021</v>
      </c>
      <c r="T5" s="33" t="str">
        <f xml:space="preserve"> _xll.EPMOlapMemberO("[PERIODID4].[].[200392]","","CW28 M7 2021","","000")</f>
        <v>CW28 M7 2021</v>
      </c>
      <c r="U5" s="33" t="str">
        <f xml:space="preserve"> _xll.EPMOlapMemberO("[PERIODID4].[].[200393]","","CW29 M7 2021","","000")</f>
        <v>CW29 M7 2021</v>
      </c>
      <c r="V5" s="33" t="str">
        <f xml:space="preserve"> _xll.EPMOlapMemberO("[PERIODID4].[].[200394]","","CW30 M7 2021","","000")</f>
        <v>CW30 M7 2021</v>
      </c>
      <c r="W5" s="33" t="str">
        <f xml:space="preserve"> _xll.EPMOlapMemberO("[PERIODID4].[].[200395]","","CW31 M8 2021","","000")</f>
        <v>CW31 M8 2021</v>
      </c>
      <c r="X5" s="33" t="str">
        <f xml:space="preserve"> _xll.EPMOlapMemberO("[PERIODID4].[].[200396]","","CW32 M8 2021","","000")</f>
        <v>CW32 M8 2021</v>
      </c>
      <c r="Y5" s="33" t="str">
        <f xml:space="preserve"> _xll.EPMOlapMemberO("[PERIODID4].[].[200397]","","CW33 M8 2021","","000")</f>
        <v>CW33 M8 2021</v>
      </c>
      <c r="Z5" s="33" t="str">
        <f xml:space="preserve"> _xll.EPMOlapMemberO("[PERIODID4].[].[200398]","","CW34 M8 2021","","000")</f>
        <v>CW34 M8 2021</v>
      </c>
      <c r="AA5" s="33" t="str">
        <f xml:space="preserve"> _xll.EPMOlapMemberO("[PERIODID4].[].[200399]","","CW35 M9 2021","","000")</f>
        <v>CW35 M9 2021</v>
      </c>
      <c r="AB5" s="33" t="str">
        <f xml:space="preserve"> _xll.EPMOlapMemberO("[PERIODID4].[].[200400]","","CW36 M9 2021","","000")</f>
        <v>CW36 M9 2021</v>
      </c>
      <c r="AC5" s="33" t="str">
        <f xml:space="preserve"> _xll.EPMOlapMemberO("[PERIODID4].[].[200401]","","CW37 M9 2021","","000")</f>
        <v>CW37 M9 2021</v>
      </c>
      <c r="AD5" s="33" t="str">
        <f xml:space="preserve"> _xll.EPMOlapMemberO("[PERIODID4].[].[200402]","","CW38 M9 2021","","000")</f>
        <v>CW38 M9 2021</v>
      </c>
      <c r="AE5" s="33" t="str">
        <f xml:space="preserve"> _xll.EPMOlapMemberO("[PERIODID4].[].[200403]","","CW39 M9 2021","","000")</f>
        <v>CW39 M9 2021</v>
      </c>
      <c r="AF5" s="33" t="str">
        <f xml:space="preserve"> _xll.EPMOlapMemberO("[PERIODID4].[].[200404]","","CW40 M10 2021","","000")</f>
        <v>CW40 M10 2021</v>
      </c>
      <c r="AG5" s="33" t="str">
        <f xml:space="preserve"> _xll.EPMOlapMemberO("[PERIODID4].[].[200405]","","CW41 M10 2021","","000")</f>
        <v>CW41 M10 2021</v>
      </c>
      <c r="AH5" s="33" t="str">
        <f xml:space="preserve"> _xll.EPMOlapMemberO("[PERIODID4].[].[200406]","","CW42 M10 2021","","000")</f>
        <v>CW42 M10 2021</v>
      </c>
      <c r="AI5" s="33" t="str">
        <f xml:space="preserve"> _xll.EPMOlapMemberO("[PERIODID4].[].[200407]","","CW43 M10 2021","","000")</f>
        <v>CW43 M10 2021</v>
      </c>
      <c r="AJ5" s="33" t="str">
        <f xml:space="preserve"> _xll.EPMOlapMemberO("[PERIODID4].[].[200408]","","CW44 M11 2021","","000")</f>
        <v>CW44 M11 2021</v>
      </c>
      <c r="AK5" s="33" t="str">
        <f xml:space="preserve"> _xll.EPMOlapMemberO("[PERIODID4].[].[200409]","","CW45 M11 2021","","000")</f>
        <v>CW45 M11 2021</v>
      </c>
      <c r="AL5" s="33" t="str">
        <f xml:space="preserve"> _xll.EPMOlapMemberO("[PERIODID4].[].[200410]","","CW46 M11 2021","","000")</f>
        <v>CW46 M11 2021</v>
      </c>
      <c r="AM5" s="33" t="str">
        <f xml:space="preserve"> _xll.EPMOlapMemberO("[PERIODID4].[].[200411]","","CW47 M11 2021","","000")</f>
        <v>CW47 M11 2021</v>
      </c>
      <c r="AN5" s="33" t="str">
        <f xml:space="preserve"> _xll.EPMOlapMemberO("[PERIODID4].[].[200412]","","CW48 M12 2021","","000")</f>
        <v>CW48 M12 2021</v>
      </c>
      <c r="AO5" s="33" t="str">
        <f xml:space="preserve"> _xll.EPMOlapMemberO("[PERIODID4].[].[200413]","","CW49 M12 2021","","000")</f>
        <v>CW49 M12 2021</v>
      </c>
      <c r="AP5" s="33" t="str">
        <f xml:space="preserve"> _xll.EPMOlapMemberO("[PERIODID4].[].[200414]","","CW50 M12 2021","","000")</f>
        <v>CW50 M12 2021</v>
      </c>
      <c r="AQ5" s="33" t="str">
        <f xml:space="preserve"> _xll.EPMOlapMemberO("[PERIODID4].[].[200415]","","CW51 M12 2021","","000")</f>
        <v>CW51 M12 2021</v>
      </c>
      <c r="AR5" s="33" t="str">
        <f xml:space="preserve"> _xll.EPMOlapMemberO("[PERIODID4].[].[200416]","","CW52 M12 2021","","000")</f>
        <v>CW52 M12 2021</v>
      </c>
      <c r="AS5" s="33" t="str">
        <f xml:space="preserve"> _xll.EPMOlapMemberO("[PERIODID4].[].[200417]","","CW01 M1 2022","","000")</f>
        <v>CW01 M1 2022</v>
      </c>
      <c r="AT5" s="33" t="str">
        <f xml:space="preserve"> _xll.EPMOlapMemberO("[PERIODID4].[].[200418]","","CW02 M1 2022","","000")</f>
        <v>CW02 M1 2022</v>
      </c>
      <c r="AU5" s="33" t="str">
        <f xml:space="preserve"> _xll.EPMOlapMemberO("[PERIODID4].[].[200419]","","CW03 M1 2022","","000")</f>
        <v>CW03 M1 2022</v>
      </c>
      <c r="AV5" s="33" t="str">
        <f xml:space="preserve"> _xll.EPMOlapMemberO("[PERIODID4].[].[200420]","","CW04 M1 2022","","000")</f>
        <v>CW04 M1 2022</v>
      </c>
      <c r="AW5" s="33" t="str">
        <f xml:space="preserve"> _xll.EPMOlapMemberO("[PERIODID4].[].[200421]","","CW05 M2 2022","","000")</f>
        <v>CW05 M2 2022</v>
      </c>
      <c r="AX5" s="33" t="str">
        <f xml:space="preserve"> _xll.EPMOlapMemberO("[PERIODID4].[].[200422]","","CW06 M2 2022","","000")</f>
        <v>CW06 M2 2022</v>
      </c>
      <c r="AY5" s="33" t="str">
        <f xml:space="preserve"> _xll.EPMOlapMemberO("[PERIODID4].[].[200423]","","CW07 M2 2022","","000")</f>
        <v>CW07 M2 2022</v>
      </c>
      <c r="AZ5" s="33" t="str">
        <f xml:space="preserve"> _xll.EPMOlapMemberO("[PERIODID4].[].[200424]","","CW08 M2 2022","","000")</f>
        <v>CW08 M2 2022</v>
      </c>
      <c r="BA5" s="33" t="str">
        <f xml:space="preserve"> _xll.EPMOlapMemberO("[PERIODID4].[].[200425]","","CW09 M3 2022","","000")</f>
        <v>CW09 M3 2022</v>
      </c>
      <c r="BB5" s="33" t="str">
        <f xml:space="preserve"> _xll.EPMOlapMemberO("[PERIODID4].[].[200426]","","CW10 M3 2022","","000")</f>
        <v>CW10 M3 2022</v>
      </c>
      <c r="BC5" s="33" t="str">
        <f xml:space="preserve"> _xll.EPMOlapMemberO("[PERIODID4].[].[200427]","","CW11 M3 2022","","000")</f>
        <v>CW11 M3 2022</v>
      </c>
      <c r="BD5" s="33" t="str">
        <f xml:space="preserve"> _xll.EPMOlapMemberO("[PERIODID4].[].[200428]","","CW12 M3 2022","","000")</f>
        <v>CW12 M3 2022</v>
      </c>
      <c r="BE5" s="33" t="str">
        <f xml:space="preserve"> _xll.EPMOlapMemberO("[PERIODID4].[].[200429]","","CW13 M3 2022","","000")</f>
        <v>CW13 M3 2022</v>
      </c>
      <c r="BF5" s="33" t="str">
        <f xml:space="preserve"> _xll.EPMOlapMemberO("[PERIODID4].[].[200430]","","CW14 M4 2022","","000")</f>
        <v>CW14 M4 2022</v>
      </c>
      <c r="BG5" s="33" t="str">
        <f xml:space="preserve"> _xll.EPMOlapMemberO("[PERIODID4].[].[200431]","","CW15 M4 2022","","000")</f>
        <v>CW15 M4 2022</v>
      </c>
      <c r="BH5" s="33" t="str">
        <f xml:space="preserve"> _xll.EPMOlapMemberO("[PERIODID4].[].[200432]","","CW16 M4 2022","","000")</f>
        <v>CW16 M4 2022</v>
      </c>
      <c r="BI5" s="33" t="str">
        <f xml:space="preserve"> _xll.EPMOlapMemberO("[PERIODID4].[].[200433]","","CW17 M4 2022","","000")</f>
        <v>CW17 M4 2022</v>
      </c>
      <c r="BJ5" s="33" t="str">
        <f xml:space="preserve"> _xll.EPMOlapMemberO("[PERIODID4].[].[200434]","","CW18 M5 2022","","000")</f>
        <v>CW18 M5 2022</v>
      </c>
      <c r="BK5" s="33" t="str">
        <f xml:space="preserve"> _xll.EPMOlapMemberO("[PERIODID4].[].[200435]","","CW19 M5 2022","","000")</f>
        <v>CW19 M5 2022</v>
      </c>
      <c r="BL5" s="33" t="str">
        <f xml:space="preserve"> _xll.EPMOlapMemberO("[PERIODID4].[].[200436]","","CW20 M5 2022","","000")</f>
        <v>CW20 M5 2022</v>
      </c>
      <c r="BM5" s="33" t="str">
        <f xml:space="preserve"> _xll.EPMOlapMemberO("[PERIODID4].[].[200437]","","CW21 M5 2022","","000")</f>
        <v>CW21 M5 2022</v>
      </c>
      <c r="BN5" s="33" t="str">
        <f xml:space="preserve"> _xll.EPMOlapMemberO("[PERIODID4].[].[200438]","","CW22 M6 2022","","000")</f>
        <v>CW22 M6 2022</v>
      </c>
      <c r="BO5" s="33" t="str">
        <f xml:space="preserve"> _xll.EPMOlapMemberO("[PERIODID4].[].[200439]","","CW23 M6 2022","","000")</f>
        <v>CW23 M6 2022</v>
      </c>
      <c r="BP5" s="33" t="str">
        <f xml:space="preserve"> _xll.EPMOlapMemberO("[PERIODID4].[].[200440]","","CW24 M6 2022","","000")</f>
        <v>CW24 M6 2022</v>
      </c>
      <c r="BQ5" s="33" t="str">
        <f xml:space="preserve"> _xll.EPMOlapMemberO("[PERIODID4].[].[200441]","","CW25 M6 2022","","000")</f>
        <v>CW25 M6 2022</v>
      </c>
      <c r="BR5" s="33" t="str">
        <f xml:space="preserve"> _xll.EPMOlapMemberO("[PERIODID4].[].[200442]","","CW26 M6 2022","","000")</f>
        <v>CW26 M6 2022</v>
      </c>
      <c r="BS5" s="33" t="str">
        <f xml:space="preserve"> _xll.EPMOlapMemberO("[PERIODID4].[].[200443]","","CW27 M7 2022","","000")</f>
        <v>CW27 M7 2022</v>
      </c>
      <c r="BT5" s="33" t="str">
        <f xml:space="preserve"> _xll.EPMOlapMemberO("[PERIODID4].[].[200444]","","CW28 M7 2022","","000")</f>
        <v>CW28 M7 2022</v>
      </c>
      <c r="BU5" s="33" t="str">
        <f xml:space="preserve"> _xll.EPMOlapMemberO("[PERIODID4].[].[200445]","","CW29 M7 2022","","000")</f>
        <v>CW29 M7 2022</v>
      </c>
      <c r="BV5" s="33" t="str">
        <f xml:space="preserve"> _xll.EPMOlapMemberO("[PERIODID4].[].[200446]","","CW30 M7 2022","","000")</f>
        <v>CW30 M7 2022</v>
      </c>
      <c r="BW5" s="33" t="str">
        <f xml:space="preserve"> _xll.EPMOlapMemberO("[PERIODID4].[].[200447]","","CW31 M8 2022","","000")</f>
        <v>CW31 M8 2022</v>
      </c>
      <c r="BX5" s="33" t="str">
        <f xml:space="preserve"> _xll.EPMOlapMemberO("[PERIODID4].[].[200448]","","CW32 M8 2022","","000")</f>
        <v>CW32 M8 2022</v>
      </c>
      <c r="BY5" s="33" t="str">
        <f xml:space="preserve"> _xll.EPMOlapMemberO("[PERIODID4].[].[200449]","","CW33 M8 2022","","000")</f>
        <v>CW33 M8 2022</v>
      </c>
      <c r="BZ5" s="33" t="str">
        <f xml:space="preserve"> _xll.EPMOlapMemberO("[PERIODID4].[].[200450]","","CW34 M8 2022","","000")</f>
        <v>CW34 M8 2022</v>
      </c>
      <c r="CA5" s="33" t="str">
        <f xml:space="preserve"> _xll.EPMOlapMemberO("[PERIODID4].[].[200451]","","CW35 M9 2022","","000")</f>
        <v>CW35 M9 2022</v>
      </c>
      <c r="CB5" s="33" t="str">
        <f xml:space="preserve"> _xll.EPMOlapMemberO("[PERIODID4].[].[200452]","","CW36 M9 2022","","000")</f>
        <v>CW36 M9 2022</v>
      </c>
      <c r="CC5" s="33" t="str">
        <f xml:space="preserve"> _xll.EPMOlapMemberO("[PERIODID4].[].[200453]","","CW37 M9 2022","","000")</f>
        <v>CW37 M9 2022</v>
      </c>
      <c r="CD5" s="33" t="str">
        <f xml:space="preserve"> _xll.EPMOlapMemberO("[PERIODID4].[].[200454]","","CW38 M9 2022","","000")</f>
        <v>CW38 M9 2022</v>
      </c>
      <c r="CE5" s="33" t="str">
        <f xml:space="preserve"> _xll.EPMOlapMemberO("[PERIODID4].[].[200455]","","CW39 M9 2022","","000")</f>
        <v>CW39 M9 2022</v>
      </c>
      <c r="CF5" s="33" t="str">
        <f xml:space="preserve"> _xll.EPMOlapMemberO("[PERIODID4].[].[200456]","","CW40 M10 2022","","000")</f>
        <v>CW40 M10 2022</v>
      </c>
      <c r="CG5" s="33" t="str">
        <f xml:space="preserve"> _xll.EPMOlapMemberO("[PERIODID4].[].[200457]","","CW41 M10 2022","","000")</f>
        <v>CW41 M10 2022</v>
      </c>
      <c r="CH5" s="33" t="str">
        <f xml:space="preserve"> _xll.EPMOlapMemberO("[PERIODID4].[].[200458]","","CW42 M10 2022","","000")</f>
        <v>CW42 M10 2022</v>
      </c>
      <c r="CI5" s="33" t="str">
        <f xml:space="preserve"> _xll.EPMOlapMemberO("[PERIODID4].[].[200459]","","CW43 M10 2022","","000")</f>
        <v>CW43 M10 2022</v>
      </c>
      <c r="CJ5" s="33" t="str">
        <f xml:space="preserve"> _xll.EPMOlapMemberO("[PERIODID4].[].[200460]","","CW44 M11 2022","","000")</f>
        <v>CW44 M11 2022</v>
      </c>
      <c r="CK5" s="33" t="str">
        <f xml:space="preserve"> _xll.EPMOlapMemberO("[PERIODID4].[].[200461]","","CW45 M11 2022","","000")</f>
        <v>CW45 M11 2022</v>
      </c>
      <c r="CL5" s="33" t="str">
        <f xml:space="preserve"> _xll.EPMOlapMemberO("[PERIODID4].[].[200462]","","CW46 M11 2022","","000")</f>
        <v>CW46 M11 2022</v>
      </c>
      <c r="CM5" s="33" t="str">
        <f xml:space="preserve"> _xll.EPMOlapMemberO("[PERIODID4].[].[200463]","","CW47 M11 2022","","000")</f>
        <v>CW47 M11 2022</v>
      </c>
      <c r="CN5" s="33" t="str">
        <f xml:space="preserve"> _xll.EPMOlapMemberO("[PERIODID4].[].[200464]","","CW48 M12 2022","","000")</f>
        <v>CW48 M12 2022</v>
      </c>
      <c r="CO5" s="33" t="str">
        <f xml:space="preserve"> _xll.EPMOlapMemberO("[PERIODID4].[].[200465]","","CW49 M12 2022","","000")</f>
        <v>CW49 M12 2022</v>
      </c>
      <c r="CP5" s="33" t="str">
        <f xml:space="preserve"> _xll.EPMOlapMemberO("[PERIODID4].[].[200466]","","CW50 M12 2022","","000")</f>
        <v>CW50 M12 2022</v>
      </c>
      <c r="CQ5" s="33" t="str">
        <f xml:space="preserve"> _xll.EPMOlapMemberO("[PERIODID4].[].[200467]","","CW51 M12 2022","","000")</f>
        <v>CW51 M12 2022</v>
      </c>
      <c r="CR5" s="33" t="str">
        <f xml:space="preserve"> _xll.EPMOlapMemberO("[PERIODID4].[].[200468]","","CW52 M12 2022","","000")</f>
        <v>CW52 M12 2022</v>
      </c>
      <c r="CS5" s="33" t="str">
        <f xml:space="preserve"> _xll.EPMOlapMemberO("[PERIODID4].[].[200469]","","CW01 M1 2023","","000")</f>
        <v>CW01 M1 2023</v>
      </c>
      <c r="CT5" s="33" t="str">
        <f xml:space="preserve"> _xll.EPMOlapMemberO("[PERIODID4].[].[200470]","","CW02 M1 2023","","000")</f>
        <v>CW02 M1 2023</v>
      </c>
      <c r="CU5" s="33" t="str">
        <f xml:space="preserve"> _xll.EPMOlapMemberO("[PERIODID4].[].[200471]","","CW03 M1 2023","","000")</f>
        <v>CW03 M1 2023</v>
      </c>
      <c r="CV5" s="33" t="str">
        <f xml:space="preserve"> _xll.EPMOlapMemberO("[PERIODID4].[].[200472]","","CW04 M1 2023","","000")</f>
        <v>CW04 M1 2023</v>
      </c>
      <c r="CW5" s="33" t="str">
        <f xml:space="preserve"> _xll.EPMOlapMemberO("[PERIODID4].[].[200473]","","CW05 M2 2023","","000")</f>
        <v>CW05 M2 2023</v>
      </c>
      <c r="CX5" s="33" t="str">
        <f xml:space="preserve"> _xll.EPMOlapMemberO("[PERIODID4].[].[200474]","","CW06 M2 2023","","000")</f>
        <v>CW06 M2 2023</v>
      </c>
      <c r="CY5" s="33" t="str">
        <f xml:space="preserve"> _xll.EPMOlapMemberO("[PERIODID4].[].[200475]","","CW07 M2 2023","","000")</f>
        <v>CW07 M2 2023</v>
      </c>
      <c r="CZ5" s="33" t="str">
        <f xml:space="preserve"> _xll.EPMOlapMemberO("[PERIODID4].[].[200476]","","CW08 M2 2023","","000")</f>
        <v>CW08 M2 2023</v>
      </c>
      <c r="DA5" s="33" t="str">
        <f xml:space="preserve"> _xll.EPMOlapMemberO("[PERIODID4].[].[200477]","","CW09 M3 2023","","000")</f>
        <v>CW09 M3 2023</v>
      </c>
      <c r="DB5" s="33" t="str">
        <f xml:space="preserve"> _xll.EPMOlapMemberO("[PERIODID4].[].[200478]","","CW10 M3 2023","","000")</f>
        <v>CW10 M3 2023</v>
      </c>
      <c r="DC5" s="33" t="str">
        <f xml:space="preserve"> _xll.EPMOlapMemberO("[PERIODID4].[].[200479]","","CW11 M3 2023","","000")</f>
        <v>CW11 M3 2023</v>
      </c>
      <c r="DD5" s="33" t="str">
        <f xml:space="preserve"> _xll.EPMOlapMemberO("[PERIODID4].[].[200480]","","CW12 M3 2023","","000")</f>
        <v>CW12 M3 2023</v>
      </c>
      <c r="DE5" s="33" t="str">
        <f xml:space="preserve"> _xll.EPMOlapMemberO("[PERIODID4].[].[200481]","","CW13 M3 2023","","000")</f>
        <v>CW13 M3 2023</v>
      </c>
      <c r="DF5" s="33" t="str">
        <f xml:space="preserve"> _xll.EPMOlapMemberO("[PERIODID4].[].[200482]","","CW14 M4 2023","","000")</f>
        <v>CW14 M4 2023</v>
      </c>
      <c r="DG5" s="33" t="str">
        <f xml:space="preserve"> _xll.EPMOlapMemberO("[PERIODID4].[].[200483]","","CW15 M4 2023","","000")</f>
        <v>CW15 M4 2023</v>
      </c>
      <c r="DH5" s="33" t="str">
        <f xml:space="preserve"> _xll.EPMOlapMemberO("[PERIODID4].[].[200484]","","CW16 M4 2023","","000")</f>
        <v>CW16 M4 2023</v>
      </c>
      <c r="DI5" s="33" t="str">
        <f xml:space="preserve"> _xll.EPMOlapMemberO("[PERIODID4].[].[200485]","","CW17 M4 2023","","000")</f>
        <v>CW17 M4 2023</v>
      </c>
      <c r="DJ5" s="33" t="str">
        <f xml:space="preserve"> _xll.EPMOlapMemberO("[PERIODID4].[].[200486]","","CW18 M5 2023","","000")</f>
        <v>CW18 M5 2023</v>
      </c>
    </row>
    <row r="6" spans="1:114">
      <c r="G6" s="21" t="str">
        <f xml:space="preserve"> _xll.EPMOlapMemberO("[PRDID].[].[FG126]","","FG126","","000")</f>
        <v>FG126</v>
      </c>
      <c r="H6" s="21" t="str">
        <f xml:space="preserve"> _xll.EPMOlapMemberO("[LOCID].[].[1710]","","1710","","000")</f>
        <v>1710</v>
      </c>
      <c r="I6" s="21" t="str">
        <f xml:space="preserve"> _xll.EPMOlapMemberO("[CUSTID].[].[0017100002]","","0017100002","","000")</f>
        <v>0017100002</v>
      </c>
      <c r="J6" s="21" t="str">
        <f xml:space="preserve"> _xll.EPMOlapMemberO("[KEY_FIGURES].[].[STATISTICALEXPOSTFORECASTQTY]","","Ex-Post Fcst Qty","","000")</f>
        <v>Ex-Post Fcst Qty</v>
      </c>
      <c r="K6" s="30">
        <v>892.98579199999995</v>
      </c>
      <c r="L6" s="30">
        <v>890.06023800000003</v>
      </c>
      <c r="M6" s="30">
        <v>934.46855800000003</v>
      </c>
      <c r="N6" s="30">
        <v>918.85776399999997</v>
      </c>
      <c r="O6" s="30">
        <v>872.54351099999997</v>
      </c>
      <c r="P6" s="30">
        <v>830.35297600000001</v>
      </c>
      <c r="Q6" s="30">
        <v>832.49761100000001</v>
      </c>
      <c r="R6" s="30">
        <v>829.863743</v>
      </c>
      <c r="S6" s="30">
        <v>838.73898399999996</v>
      </c>
      <c r="T6" s="30">
        <v>844.53067399999998</v>
      </c>
      <c r="U6" s="30">
        <v>862.96658400000001</v>
      </c>
      <c r="V6" s="30">
        <v>846.32875899999999</v>
      </c>
      <c r="W6" s="30">
        <v>845.38143400000001</v>
      </c>
      <c r="X6" s="30">
        <v>829.71237299999996</v>
      </c>
      <c r="Y6" s="30">
        <v>843.11581699999999</v>
      </c>
      <c r="Z6" s="30">
        <v>836.16557299999999</v>
      </c>
      <c r="AA6" s="30">
        <v>836.820697</v>
      </c>
      <c r="AB6" s="30">
        <v>825.37958600000002</v>
      </c>
      <c r="AC6" s="30">
        <v>827.27113199999997</v>
      </c>
      <c r="AD6" s="30">
        <v>821.81308100000001</v>
      </c>
      <c r="AE6" s="30">
        <v>837.96760400000005</v>
      </c>
      <c r="AF6" s="30">
        <v>868.49205199999994</v>
      </c>
      <c r="AG6" s="30">
        <v>848.46543799999995</v>
      </c>
      <c r="AH6" s="30">
        <v>834.04367100000002</v>
      </c>
      <c r="AI6" s="30">
        <v>858.29016799999999</v>
      </c>
      <c r="AJ6" s="30">
        <v>849.90378299999998</v>
      </c>
      <c r="AK6" s="30">
        <v>864.79640300000005</v>
      </c>
      <c r="AL6" s="30">
        <v>872.00485200000003</v>
      </c>
      <c r="AM6" s="30">
        <v>875.60015799999996</v>
      </c>
      <c r="AN6" s="30">
        <v>879.89827400000001</v>
      </c>
      <c r="AO6" s="30">
        <v>879.23781099999997</v>
      </c>
      <c r="AP6" s="30">
        <v>860.31953299999998</v>
      </c>
      <c r="AQ6" s="30">
        <v>872.08340299999998</v>
      </c>
      <c r="AR6" s="30">
        <v>860.28583900000001</v>
      </c>
      <c r="AS6" s="30">
        <v>857.00071000000003</v>
      </c>
      <c r="AT6" s="30">
        <v>856.91702899999996</v>
      </c>
      <c r="AU6" s="30">
        <v>850.56875600000001</v>
      </c>
      <c r="AV6" s="30">
        <v>852.10999900000002</v>
      </c>
      <c r="AW6" s="30">
        <v>860.46292100000005</v>
      </c>
      <c r="AX6" s="30">
        <v>868.61908900000003</v>
      </c>
      <c r="AY6" s="30">
        <v>863.80091100000004</v>
      </c>
      <c r="AZ6" s="30">
        <v>864.15204400000005</v>
      </c>
      <c r="BA6" s="30">
        <v>850.92718000000002</v>
      </c>
      <c r="BB6" s="30">
        <v>860.63332800000001</v>
      </c>
      <c r="BC6" s="30">
        <v>870.28042800000003</v>
      </c>
      <c r="BD6" s="30">
        <v>879.03720499999997</v>
      </c>
      <c r="BE6" s="30">
        <v>873.180609</v>
      </c>
      <c r="BF6" s="30">
        <v>870.32238600000005</v>
      </c>
      <c r="BG6" s="30">
        <v>867.95403399999998</v>
      </c>
      <c r="BH6" s="30">
        <v>893.04423799999995</v>
      </c>
      <c r="BI6" s="30">
        <v>896.803493</v>
      </c>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row>
    <row r="7" spans="1:114">
      <c r="G7" s="42"/>
      <c r="H7" s="42"/>
      <c r="I7" s="42"/>
      <c r="J7" s="42" t="str">
        <f xml:space="preserve"> _xll.EPMOlapMemberO("[KEY_FIGURES].[].[ADJUSTEDACTUALSQTY]","","Actuals Qty Adj.","","000")</f>
        <v>Actuals Qty Adj.</v>
      </c>
      <c r="K7" s="62">
        <v>858</v>
      </c>
      <c r="L7" s="62">
        <v>2142</v>
      </c>
      <c r="M7" s="62">
        <v>309</v>
      </c>
      <c r="N7" s="62">
        <v>365</v>
      </c>
      <c r="O7" s="62">
        <v>368</v>
      </c>
      <c r="P7" s="62">
        <v>856</v>
      </c>
      <c r="Q7" s="62">
        <v>801</v>
      </c>
      <c r="R7" s="62">
        <v>936</v>
      </c>
      <c r="S7" s="62">
        <v>908</v>
      </c>
      <c r="T7" s="62">
        <v>1065</v>
      </c>
      <c r="U7" s="62">
        <v>664</v>
      </c>
      <c r="V7" s="62">
        <v>835</v>
      </c>
      <c r="W7" s="62">
        <v>658</v>
      </c>
      <c r="X7" s="62">
        <v>990</v>
      </c>
      <c r="Y7" s="62">
        <v>760</v>
      </c>
      <c r="Z7" s="62">
        <v>844</v>
      </c>
      <c r="AA7" s="62">
        <v>700</v>
      </c>
      <c r="AB7" s="62">
        <v>848</v>
      </c>
      <c r="AC7" s="62">
        <v>762</v>
      </c>
      <c r="AD7" s="62">
        <v>1015</v>
      </c>
      <c r="AE7" s="62">
        <v>1203</v>
      </c>
      <c r="AF7" s="62">
        <v>629</v>
      </c>
      <c r="AG7" s="62">
        <v>676</v>
      </c>
      <c r="AH7" s="62">
        <v>1124</v>
      </c>
      <c r="AI7" s="62">
        <v>758</v>
      </c>
      <c r="AJ7" s="62">
        <v>1028</v>
      </c>
      <c r="AK7" s="62">
        <v>951</v>
      </c>
      <c r="AL7" s="62">
        <v>915</v>
      </c>
      <c r="AM7" s="62">
        <v>927</v>
      </c>
      <c r="AN7" s="62">
        <v>872</v>
      </c>
      <c r="AO7" s="62">
        <v>653</v>
      </c>
      <c r="AP7" s="62">
        <v>1001</v>
      </c>
      <c r="AQ7" s="62">
        <v>731</v>
      </c>
      <c r="AR7" s="62">
        <v>821</v>
      </c>
      <c r="AS7" s="62">
        <v>856</v>
      </c>
      <c r="AT7" s="62">
        <v>781</v>
      </c>
      <c r="AU7" s="62">
        <v>869</v>
      </c>
      <c r="AV7" s="62">
        <v>952</v>
      </c>
      <c r="AW7" s="62">
        <v>958</v>
      </c>
      <c r="AX7" s="62">
        <v>811</v>
      </c>
      <c r="AY7" s="62">
        <v>868</v>
      </c>
      <c r="AZ7" s="62">
        <v>706</v>
      </c>
      <c r="BA7" s="62">
        <v>967</v>
      </c>
      <c r="BB7" s="62">
        <v>976</v>
      </c>
      <c r="BC7" s="62">
        <v>975</v>
      </c>
      <c r="BD7" s="62">
        <v>809</v>
      </c>
      <c r="BE7" s="62">
        <v>839</v>
      </c>
      <c r="BF7" s="62">
        <v>842</v>
      </c>
      <c r="BG7" s="62">
        <v>1168</v>
      </c>
      <c r="BH7" s="62">
        <v>938</v>
      </c>
      <c r="BI7" s="62">
        <v>928</v>
      </c>
      <c r="BJ7" s="62">
        <v>990</v>
      </c>
      <c r="BK7" s="62">
        <v>848</v>
      </c>
      <c r="BL7" s="62">
        <v>941</v>
      </c>
      <c r="BM7" s="62">
        <v>935</v>
      </c>
      <c r="BN7" s="62">
        <v>1201</v>
      </c>
      <c r="BO7" s="62">
        <v>873</v>
      </c>
      <c r="BP7" s="62">
        <v>829</v>
      </c>
      <c r="BQ7" s="62">
        <v>660</v>
      </c>
      <c r="BR7" s="62">
        <v>941</v>
      </c>
      <c r="BS7" s="62">
        <v>752</v>
      </c>
      <c r="BT7" s="62">
        <v>675</v>
      </c>
      <c r="BU7" s="62"/>
      <c r="BV7" s="62"/>
      <c r="BW7" s="62"/>
      <c r="BX7" s="62"/>
      <c r="BY7" s="62"/>
      <c r="BZ7" s="62"/>
      <c r="CA7" s="62"/>
      <c r="CB7" s="62"/>
      <c r="CC7" s="62"/>
      <c r="CD7" s="62"/>
      <c r="CE7" s="62"/>
      <c r="CF7" s="62"/>
      <c r="CG7" s="62"/>
      <c r="CH7" s="62"/>
      <c r="CI7" s="62"/>
      <c r="CJ7" s="62"/>
      <c r="CK7" s="62"/>
      <c r="CL7" s="62"/>
      <c r="CM7" s="62"/>
      <c r="CN7" s="62"/>
      <c r="CO7" s="62"/>
      <c r="CP7" s="62"/>
      <c r="CQ7" s="62"/>
      <c r="CR7" s="62"/>
      <c r="CS7" s="62"/>
      <c r="CT7" s="62"/>
      <c r="CU7" s="62"/>
      <c r="CV7" s="62"/>
      <c r="CW7" s="62"/>
      <c r="CX7" s="62"/>
      <c r="CY7" s="62"/>
      <c r="CZ7" s="62"/>
      <c r="DA7" s="62"/>
      <c r="DB7" s="62"/>
      <c r="DC7" s="62"/>
      <c r="DD7" s="62"/>
      <c r="DE7" s="62"/>
      <c r="DF7" s="62"/>
      <c r="DG7" s="62"/>
      <c r="DH7" s="62"/>
      <c r="DI7" s="62"/>
      <c r="DJ7" s="62"/>
    </row>
    <row r="8" spans="1:114">
      <c r="G8" s="21"/>
      <c r="H8" s="21"/>
      <c r="I8" s="21"/>
      <c r="J8" s="21" t="str">
        <f xml:space="preserve"> _xll.EPMOlapMemberO("[KEY_FIGURES].[].[RESIDUALEXPOSTFCSTACTUALSADJ]","","Residuals Ex-Post Fcst - Actuals Qty Adj","","000")</f>
        <v>Residuals Ex-Post Fcst - Actuals Qty Adj</v>
      </c>
      <c r="K8" s="30">
        <v>34.985791999999996</v>
      </c>
      <c r="L8" s="30">
        <v>-1251.939762</v>
      </c>
      <c r="M8" s="30">
        <v>625.46855800000003</v>
      </c>
      <c r="N8" s="30">
        <v>553.85776399999997</v>
      </c>
      <c r="O8" s="30">
        <v>504.54351100000002</v>
      </c>
      <c r="P8" s="30">
        <v>-25.647023999999998</v>
      </c>
      <c r="Q8" s="30">
        <v>31.497610999999999</v>
      </c>
      <c r="R8" s="30">
        <v>-106.136257</v>
      </c>
      <c r="S8" s="30">
        <v>-69.261015999999998</v>
      </c>
      <c r="T8" s="30">
        <v>-220.469326</v>
      </c>
      <c r="U8" s="30">
        <v>198.96658400000001</v>
      </c>
      <c r="V8" s="30">
        <v>11.328759</v>
      </c>
      <c r="W8" s="30">
        <v>187.38143400000001</v>
      </c>
      <c r="X8" s="30">
        <v>-160.28762699999999</v>
      </c>
      <c r="Y8" s="30">
        <v>83.115817000000007</v>
      </c>
      <c r="Z8" s="30">
        <v>-7.8344269999999998</v>
      </c>
      <c r="AA8" s="30">
        <v>136.820697</v>
      </c>
      <c r="AB8" s="30">
        <v>-22.620414</v>
      </c>
      <c r="AC8" s="30">
        <v>65.271131999999994</v>
      </c>
      <c r="AD8" s="30">
        <v>-193.18691899999999</v>
      </c>
      <c r="AE8" s="30">
        <v>-365.03239600000001</v>
      </c>
      <c r="AF8" s="30">
        <v>239.492052</v>
      </c>
      <c r="AG8" s="30">
        <v>172.46543800000001</v>
      </c>
      <c r="AH8" s="30">
        <v>-289.95632899999998</v>
      </c>
      <c r="AI8" s="30">
        <v>100.29016799999999</v>
      </c>
      <c r="AJ8" s="30">
        <v>-178.096217</v>
      </c>
      <c r="AK8" s="30">
        <v>-86.203597000000002</v>
      </c>
      <c r="AL8" s="30">
        <v>-42.995148</v>
      </c>
      <c r="AM8" s="30">
        <v>-51.399842</v>
      </c>
      <c r="AN8" s="30">
        <v>7.8982739999999998</v>
      </c>
      <c r="AO8" s="30">
        <v>226.23781099999999</v>
      </c>
      <c r="AP8" s="30">
        <v>-140.68046699999999</v>
      </c>
      <c r="AQ8" s="30">
        <v>141.083403</v>
      </c>
      <c r="AR8" s="30">
        <v>39.285839000000003</v>
      </c>
      <c r="AS8" s="30">
        <v>1.00071</v>
      </c>
      <c r="AT8" s="30">
        <v>75.917028999999999</v>
      </c>
      <c r="AU8" s="30">
        <v>-18.431244</v>
      </c>
      <c r="AV8" s="30">
        <v>-99.890000999999998</v>
      </c>
      <c r="AW8" s="30">
        <v>-97.537079000000006</v>
      </c>
      <c r="AX8" s="30">
        <v>57.619089000000002</v>
      </c>
      <c r="AY8" s="30">
        <v>-4.1990889999999998</v>
      </c>
      <c r="AZ8" s="30">
        <v>158.15204399999999</v>
      </c>
      <c r="BA8" s="30">
        <v>-116.07281999999999</v>
      </c>
      <c r="BB8" s="30">
        <v>-115.36667199999999</v>
      </c>
      <c r="BC8" s="30">
        <v>-104.719572</v>
      </c>
      <c r="BD8" s="30">
        <v>70.037205</v>
      </c>
      <c r="BE8" s="30">
        <v>34.180608999999997</v>
      </c>
      <c r="BF8" s="30">
        <v>28.322386000000002</v>
      </c>
      <c r="BG8" s="30">
        <v>-300.04596600000002</v>
      </c>
      <c r="BH8" s="30">
        <v>-44.955762</v>
      </c>
      <c r="BI8" s="30">
        <v>-31.196507</v>
      </c>
      <c r="BJ8" s="30">
        <v>-990</v>
      </c>
      <c r="BK8" s="30">
        <v>-848</v>
      </c>
      <c r="BL8" s="30">
        <v>-941</v>
      </c>
      <c r="BM8" s="30">
        <v>-935</v>
      </c>
      <c r="BN8" s="30">
        <v>-1201</v>
      </c>
      <c r="BO8" s="30">
        <v>-873</v>
      </c>
      <c r="BP8" s="30">
        <v>-829</v>
      </c>
      <c r="BQ8" s="30">
        <v>-660</v>
      </c>
      <c r="BR8" s="30">
        <v>-941</v>
      </c>
      <c r="BS8" s="30">
        <v>-752</v>
      </c>
      <c r="BT8" s="30">
        <v>-675</v>
      </c>
      <c r="BU8" s="30"/>
      <c r="BV8" s="30"/>
      <c r="BW8" s="30"/>
      <c r="BX8" s="30"/>
      <c r="BY8" s="30"/>
      <c r="BZ8" s="30"/>
      <c r="CA8" s="30"/>
      <c r="CB8" s="30"/>
      <c r="CC8" s="30"/>
      <c r="CD8" s="30"/>
      <c r="CE8" s="30"/>
      <c r="CF8" s="30"/>
      <c r="CG8" s="30"/>
      <c r="CH8" s="30"/>
      <c r="CI8" s="30"/>
      <c r="CJ8" s="30"/>
      <c r="CK8" s="30"/>
      <c r="CL8" s="30"/>
      <c r="CM8" s="30"/>
      <c r="CN8" s="30"/>
      <c r="CO8" s="30"/>
      <c r="CP8" s="30"/>
      <c r="CQ8" s="30"/>
      <c r="CR8" s="30"/>
      <c r="CS8" s="30"/>
      <c r="CT8" s="30"/>
      <c r="CU8" s="30"/>
      <c r="CV8" s="30"/>
      <c r="CW8" s="30"/>
      <c r="CX8" s="30"/>
      <c r="CY8" s="30"/>
      <c r="CZ8" s="30"/>
      <c r="DA8" s="30"/>
      <c r="DB8" s="30"/>
      <c r="DC8" s="30"/>
      <c r="DD8" s="30"/>
      <c r="DE8" s="30"/>
      <c r="DF8" s="30"/>
      <c r="DG8" s="30"/>
      <c r="DH8" s="30"/>
      <c r="DI8" s="30"/>
      <c r="DJ8" s="30"/>
    </row>
    <row r="9" spans="1:114">
      <c r="G9" s="21"/>
      <c r="H9" s="21"/>
      <c r="I9" s="21"/>
      <c r="J9" s="21" t="str">
        <f xml:space="preserve"> _xll.EPMOlapMemberO("[KEY_FIGURES].[].[STATISTICALFORECASTQTY]","","Statistical Fcst Qty","","000")</f>
        <v>Statistical Fcst Qty</v>
      </c>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0"/>
      <c r="BH9" s="30"/>
      <c r="BI9" s="30"/>
      <c r="BJ9" s="30">
        <v>899.41218300000003</v>
      </c>
      <c r="BK9" s="30">
        <v>899.41218300000003</v>
      </c>
      <c r="BL9" s="30">
        <v>899.41218300000003</v>
      </c>
      <c r="BM9" s="30">
        <v>899.41218300000003</v>
      </c>
      <c r="BN9" s="30">
        <v>899.41218300000003</v>
      </c>
      <c r="BO9" s="30">
        <v>899.41218300000003</v>
      </c>
      <c r="BP9" s="30">
        <v>899.41218300000003</v>
      </c>
      <c r="BQ9" s="30">
        <v>899.41218300000003</v>
      </c>
      <c r="BR9" s="30">
        <v>899.41218300000003</v>
      </c>
      <c r="BS9" s="30">
        <v>899.41218300000003</v>
      </c>
      <c r="BT9" s="30">
        <v>899.41218300000003</v>
      </c>
      <c r="BU9" s="30">
        <v>899.41218300000003</v>
      </c>
      <c r="BV9" s="30">
        <v>899.41218300000003</v>
      </c>
      <c r="BW9" s="30">
        <v>899.41218300000003</v>
      </c>
      <c r="BX9" s="30">
        <v>899.41218300000003</v>
      </c>
      <c r="BY9" s="30">
        <v>899.41218300000003</v>
      </c>
      <c r="BZ9" s="30">
        <v>899.41218300000003</v>
      </c>
      <c r="CA9" s="30">
        <v>899.41218300000003</v>
      </c>
      <c r="CB9" s="30">
        <v>899.41218300000003</v>
      </c>
      <c r="CC9" s="30">
        <v>899.41218300000003</v>
      </c>
      <c r="CD9" s="30">
        <v>899.41218300000003</v>
      </c>
      <c r="CE9" s="30">
        <v>899.41218300000003</v>
      </c>
      <c r="CF9" s="30">
        <v>899.41218300000003</v>
      </c>
      <c r="CG9" s="30">
        <v>899.41218300000003</v>
      </c>
      <c r="CH9" s="30">
        <v>899.41218300000003</v>
      </c>
      <c r="CI9" s="30">
        <v>899.41218300000003</v>
      </c>
      <c r="CJ9" s="30">
        <v>899.41218300000003</v>
      </c>
      <c r="CK9" s="30">
        <v>899.41218300000003</v>
      </c>
      <c r="CL9" s="30">
        <v>899.41218300000003</v>
      </c>
      <c r="CM9" s="30">
        <v>899.41218300000003</v>
      </c>
      <c r="CN9" s="30">
        <v>899.41218300000003</v>
      </c>
      <c r="CO9" s="30">
        <v>899.41218300000003</v>
      </c>
      <c r="CP9" s="30">
        <v>899.41218300000003</v>
      </c>
      <c r="CQ9" s="30">
        <v>899.41218300000003</v>
      </c>
      <c r="CR9" s="30">
        <v>899.41218300000003</v>
      </c>
      <c r="CS9" s="30">
        <v>899.41218300000003</v>
      </c>
      <c r="CT9" s="30">
        <v>899.41218300000003</v>
      </c>
      <c r="CU9" s="30">
        <v>899.41218300000003</v>
      </c>
      <c r="CV9" s="30">
        <v>899.41218300000003</v>
      </c>
      <c r="CW9" s="30">
        <v>899.41218300000003</v>
      </c>
      <c r="CX9" s="30">
        <v>899.41218300000003</v>
      </c>
      <c r="CY9" s="30">
        <v>899.41218300000003</v>
      </c>
      <c r="CZ9" s="30">
        <v>899.41218300000003</v>
      </c>
      <c r="DA9" s="30">
        <v>899.41218300000003</v>
      </c>
      <c r="DB9" s="30">
        <v>899.41218300000003</v>
      </c>
      <c r="DC9" s="30">
        <v>899.41218300000003</v>
      </c>
      <c r="DD9" s="30">
        <v>899.41218300000003</v>
      </c>
      <c r="DE9" s="30">
        <v>899.41218300000003</v>
      </c>
      <c r="DF9" s="30">
        <v>899.41218300000003</v>
      </c>
      <c r="DG9" s="30">
        <v>899.41218300000003</v>
      </c>
      <c r="DH9" s="30">
        <v>899.41218300000003</v>
      </c>
      <c r="DI9" s="30">
        <v>899.41218300000003</v>
      </c>
      <c r="DJ9" s="30"/>
    </row>
    <row r="10" spans="1:114">
      <c r="G10" s="21"/>
      <c r="H10" s="21" t="str">
        <f xml:space="preserve"> _xll.EPMOlapMemberO("[LOCID].[].[3710]","","3710","","000")</f>
        <v>3710</v>
      </c>
      <c r="I10" s="21" t="str">
        <f xml:space="preserve"> _xll.EPMOlapMemberO("[CUSTID].[].[0037100001]","","0037100001","","000")</f>
        <v>0037100001</v>
      </c>
      <c r="J10" s="21" t="str">
        <f xml:space="preserve"> _xll.EPMOlapMemberO("[KEY_FIGURES].[].[STATISTICALEXPOSTFORECASTQTY]","","Ex-Post Fcst Qty","","000")</f>
        <v>Ex-Post Fcst Qty</v>
      </c>
      <c r="K10" s="30">
        <v>1400</v>
      </c>
      <c r="L10" s="30">
        <v>1400</v>
      </c>
      <c r="M10" s="30">
        <v>1400</v>
      </c>
      <c r="N10" s="30">
        <v>1400</v>
      </c>
      <c r="O10" s="30">
        <v>1400</v>
      </c>
      <c r="P10" s="30">
        <v>1400</v>
      </c>
      <c r="Q10" s="30">
        <v>1400</v>
      </c>
      <c r="R10" s="30">
        <v>1400</v>
      </c>
      <c r="S10" s="30">
        <v>1400</v>
      </c>
      <c r="T10" s="30">
        <v>1400</v>
      </c>
      <c r="U10" s="30">
        <v>1400</v>
      </c>
      <c r="V10" s="30">
        <v>1400</v>
      </c>
      <c r="W10" s="30">
        <v>1400</v>
      </c>
      <c r="X10" s="30">
        <v>1400</v>
      </c>
      <c r="Y10" s="30">
        <v>1400</v>
      </c>
      <c r="Z10" s="30">
        <v>1400</v>
      </c>
      <c r="AA10" s="30">
        <v>1400</v>
      </c>
      <c r="AB10" s="30">
        <v>1400</v>
      </c>
      <c r="AC10" s="30">
        <v>1400</v>
      </c>
      <c r="AD10" s="30">
        <v>1400</v>
      </c>
      <c r="AE10" s="30">
        <v>1400</v>
      </c>
      <c r="AF10" s="30">
        <v>1400</v>
      </c>
      <c r="AG10" s="30">
        <v>1400</v>
      </c>
      <c r="AH10" s="30">
        <v>1400</v>
      </c>
      <c r="AI10" s="30">
        <v>1400</v>
      </c>
      <c r="AJ10" s="30">
        <v>1400</v>
      </c>
      <c r="AK10" s="30">
        <v>1400</v>
      </c>
      <c r="AL10" s="30">
        <v>1400</v>
      </c>
      <c r="AM10" s="30">
        <v>1400</v>
      </c>
      <c r="AN10" s="30">
        <v>1400</v>
      </c>
      <c r="AO10" s="30">
        <v>1400</v>
      </c>
      <c r="AP10" s="30">
        <v>1400</v>
      </c>
      <c r="AQ10" s="30">
        <v>1400</v>
      </c>
      <c r="AR10" s="30">
        <v>1400</v>
      </c>
      <c r="AS10" s="30">
        <v>1400</v>
      </c>
      <c r="AT10" s="30">
        <v>1400</v>
      </c>
      <c r="AU10" s="30">
        <v>1400</v>
      </c>
      <c r="AV10" s="30">
        <v>1400</v>
      </c>
      <c r="AW10" s="30">
        <v>1400</v>
      </c>
      <c r="AX10" s="30">
        <v>1400</v>
      </c>
      <c r="AY10" s="30">
        <v>1400</v>
      </c>
      <c r="AZ10" s="30">
        <v>1400</v>
      </c>
      <c r="BA10" s="30">
        <v>1400</v>
      </c>
      <c r="BB10" s="30">
        <v>1400</v>
      </c>
      <c r="BC10" s="30">
        <v>1400</v>
      </c>
      <c r="BD10" s="30">
        <v>1400</v>
      </c>
      <c r="BE10" s="30">
        <v>1400</v>
      </c>
      <c r="BF10" s="30">
        <v>1400</v>
      </c>
      <c r="BG10" s="30">
        <v>1400</v>
      </c>
      <c r="BH10" s="30">
        <v>1400</v>
      </c>
      <c r="BI10" s="30">
        <v>1400</v>
      </c>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row>
    <row r="11" spans="1:114">
      <c r="G11" s="42"/>
      <c r="H11" s="42"/>
      <c r="I11" s="42"/>
      <c r="J11" s="42" t="str">
        <f xml:space="preserve"> _xll.EPMOlapMemberO("[KEY_FIGURES].[].[ADJUSTEDACTUALSQTY]","","Actuals Qty Adj.","","000")</f>
        <v>Actuals Qty Adj.</v>
      </c>
      <c r="K11" s="62">
        <v>1400</v>
      </c>
      <c r="L11" s="62">
        <v>1400</v>
      </c>
      <c r="M11" s="62">
        <v>1400</v>
      </c>
      <c r="N11" s="62">
        <v>1400</v>
      </c>
      <c r="O11" s="62">
        <v>1400</v>
      </c>
      <c r="P11" s="62">
        <v>1400</v>
      </c>
      <c r="Q11" s="62">
        <v>1400</v>
      </c>
      <c r="R11" s="62">
        <v>1400</v>
      </c>
      <c r="S11" s="62">
        <v>1400</v>
      </c>
      <c r="T11" s="62">
        <v>1400</v>
      </c>
      <c r="U11" s="62">
        <v>1400</v>
      </c>
      <c r="V11" s="62">
        <v>1400</v>
      </c>
      <c r="W11" s="62">
        <v>1400</v>
      </c>
      <c r="X11" s="62">
        <v>1400</v>
      </c>
      <c r="Y11" s="62">
        <v>1400</v>
      </c>
      <c r="Z11" s="62">
        <v>1400</v>
      </c>
      <c r="AA11" s="62">
        <v>1400</v>
      </c>
      <c r="AB11" s="62">
        <v>1400</v>
      </c>
      <c r="AC11" s="62">
        <v>1400</v>
      </c>
      <c r="AD11" s="62">
        <v>1400</v>
      </c>
      <c r="AE11" s="62">
        <v>1400</v>
      </c>
      <c r="AF11" s="62">
        <v>1400</v>
      </c>
      <c r="AG11" s="62">
        <v>1400</v>
      </c>
      <c r="AH11" s="62">
        <v>1400</v>
      </c>
      <c r="AI11" s="62">
        <v>1400</v>
      </c>
      <c r="AJ11" s="62">
        <v>1400</v>
      </c>
      <c r="AK11" s="62">
        <v>1400</v>
      </c>
      <c r="AL11" s="62">
        <v>1400</v>
      </c>
      <c r="AM11" s="62">
        <v>1400</v>
      </c>
      <c r="AN11" s="62">
        <v>1400</v>
      </c>
      <c r="AO11" s="62">
        <v>1400</v>
      </c>
      <c r="AP11" s="62">
        <v>1400</v>
      </c>
      <c r="AQ11" s="62">
        <v>1400</v>
      </c>
      <c r="AR11" s="62">
        <v>1400</v>
      </c>
      <c r="AS11" s="62">
        <v>1400</v>
      </c>
      <c r="AT11" s="62">
        <v>1400</v>
      </c>
      <c r="AU11" s="62">
        <v>1400</v>
      </c>
      <c r="AV11" s="62">
        <v>1400</v>
      </c>
      <c r="AW11" s="62">
        <v>1400</v>
      </c>
      <c r="AX11" s="62">
        <v>1400</v>
      </c>
      <c r="AY11" s="62">
        <v>1400</v>
      </c>
      <c r="AZ11" s="62">
        <v>1400</v>
      </c>
      <c r="BA11" s="62">
        <v>1400</v>
      </c>
      <c r="BB11" s="62">
        <v>1400</v>
      </c>
      <c r="BC11" s="62">
        <v>1400</v>
      </c>
      <c r="BD11" s="62">
        <v>1400</v>
      </c>
      <c r="BE11" s="62">
        <v>1400</v>
      </c>
      <c r="BF11" s="62">
        <v>1400</v>
      </c>
      <c r="BG11" s="62">
        <v>1400</v>
      </c>
      <c r="BH11" s="62">
        <v>1400</v>
      </c>
      <c r="BI11" s="62">
        <v>1400</v>
      </c>
      <c r="BJ11" s="62">
        <v>1400</v>
      </c>
      <c r="BK11" s="62">
        <v>1400</v>
      </c>
      <c r="BL11" s="62">
        <v>1400</v>
      </c>
      <c r="BM11" s="62">
        <v>1400</v>
      </c>
      <c r="BN11" s="62">
        <v>1400</v>
      </c>
      <c r="BO11" s="62">
        <v>1400</v>
      </c>
      <c r="BP11" s="62">
        <v>1400</v>
      </c>
      <c r="BQ11" s="62">
        <v>1400</v>
      </c>
      <c r="BR11" s="62">
        <v>1400</v>
      </c>
      <c r="BS11" s="62">
        <v>1400</v>
      </c>
      <c r="BT11" s="62">
        <v>1400</v>
      </c>
      <c r="BU11" s="62"/>
      <c r="BV11" s="62"/>
      <c r="BW11" s="62"/>
      <c r="BX11" s="62"/>
      <c r="BY11" s="62"/>
      <c r="BZ11" s="62"/>
      <c r="CA11" s="62"/>
      <c r="CB11" s="62"/>
      <c r="CC11" s="62"/>
      <c r="CD11" s="62"/>
      <c r="CE11" s="62"/>
      <c r="CF11" s="62"/>
      <c r="CG11" s="62"/>
      <c r="CH11" s="62"/>
      <c r="CI11" s="62"/>
      <c r="CJ11" s="62"/>
      <c r="CK11" s="62"/>
      <c r="CL11" s="62"/>
      <c r="CM11" s="62"/>
      <c r="CN11" s="62"/>
      <c r="CO11" s="62"/>
      <c r="CP11" s="62"/>
      <c r="CQ11" s="62"/>
      <c r="CR11" s="62"/>
      <c r="CS11" s="62"/>
      <c r="CT11" s="62"/>
      <c r="CU11" s="62"/>
      <c r="CV11" s="62"/>
      <c r="CW11" s="62"/>
      <c r="CX11" s="62"/>
      <c r="CY11" s="62"/>
      <c r="CZ11" s="62"/>
      <c r="DA11" s="62"/>
      <c r="DB11" s="62"/>
      <c r="DC11" s="62"/>
      <c r="DD11" s="62"/>
      <c r="DE11" s="62"/>
      <c r="DF11" s="62"/>
      <c r="DG11" s="62"/>
      <c r="DH11" s="62"/>
      <c r="DI11" s="62"/>
      <c r="DJ11" s="62"/>
    </row>
    <row r="12" spans="1:114">
      <c r="G12" s="21"/>
      <c r="H12" s="21"/>
      <c r="I12" s="21"/>
      <c r="J12" s="21" t="str">
        <f xml:space="preserve"> _xll.EPMOlapMemberO("[KEY_FIGURES].[].[RESIDUALEXPOSTFCSTACTUALSADJ]","","Residuals Ex-Post Fcst - Actuals Qty Adj","","000")</f>
        <v>Residuals Ex-Post Fcst - Actuals Qty Adj</v>
      </c>
      <c r="K12" s="30">
        <v>0</v>
      </c>
      <c r="L12" s="30">
        <v>0</v>
      </c>
      <c r="M12" s="30">
        <v>0</v>
      </c>
      <c r="N12" s="30">
        <v>0</v>
      </c>
      <c r="O12" s="30">
        <v>0</v>
      </c>
      <c r="P12" s="30">
        <v>0</v>
      </c>
      <c r="Q12" s="30">
        <v>0</v>
      </c>
      <c r="R12" s="30">
        <v>0</v>
      </c>
      <c r="S12" s="30">
        <v>0</v>
      </c>
      <c r="T12" s="30">
        <v>0</v>
      </c>
      <c r="U12" s="30">
        <v>0</v>
      </c>
      <c r="V12" s="30">
        <v>0</v>
      </c>
      <c r="W12" s="30">
        <v>0</v>
      </c>
      <c r="X12" s="30">
        <v>0</v>
      </c>
      <c r="Y12" s="30">
        <v>0</v>
      </c>
      <c r="Z12" s="30">
        <v>0</v>
      </c>
      <c r="AA12" s="30">
        <v>0</v>
      </c>
      <c r="AB12" s="30">
        <v>0</v>
      </c>
      <c r="AC12" s="30">
        <v>0</v>
      </c>
      <c r="AD12" s="30">
        <v>0</v>
      </c>
      <c r="AE12" s="30">
        <v>0</v>
      </c>
      <c r="AF12" s="30">
        <v>0</v>
      </c>
      <c r="AG12" s="30">
        <v>0</v>
      </c>
      <c r="AH12" s="30">
        <v>0</v>
      </c>
      <c r="AI12" s="30">
        <v>0</v>
      </c>
      <c r="AJ12" s="30">
        <v>0</v>
      </c>
      <c r="AK12" s="30">
        <v>0</v>
      </c>
      <c r="AL12" s="30">
        <v>0</v>
      </c>
      <c r="AM12" s="30">
        <v>0</v>
      </c>
      <c r="AN12" s="30">
        <v>0</v>
      </c>
      <c r="AO12" s="30">
        <v>0</v>
      </c>
      <c r="AP12" s="30">
        <v>0</v>
      </c>
      <c r="AQ12" s="30">
        <v>0</v>
      </c>
      <c r="AR12" s="30">
        <v>0</v>
      </c>
      <c r="AS12" s="30">
        <v>0</v>
      </c>
      <c r="AT12" s="30">
        <v>0</v>
      </c>
      <c r="AU12" s="30">
        <v>0</v>
      </c>
      <c r="AV12" s="30">
        <v>0</v>
      </c>
      <c r="AW12" s="30">
        <v>0</v>
      </c>
      <c r="AX12" s="30">
        <v>0</v>
      </c>
      <c r="AY12" s="30">
        <v>0</v>
      </c>
      <c r="AZ12" s="30">
        <v>0</v>
      </c>
      <c r="BA12" s="30">
        <v>0</v>
      </c>
      <c r="BB12" s="30">
        <v>0</v>
      </c>
      <c r="BC12" s="30">
        <v>0</v>
      </c>
      <c r="BD12" s="30">
        <v>0</v>
      </c>
      <c r="BE12" s="30">
        <v>0</v>
      </c>
      <c r="BF12" s="30">
        <v>0</v>
      </c>
      <c r="BG12" s="30">
        <v>0</v>
      </c>
      <c r="BH12" s="30">
        <v>0</v>
      </c>
      <c r="BI12" s="30">
        <v>0</v>
      </c>
      <c r="BJ12" s="30">
        <v>-1400</v>
      </c>
      <c r="BK12" s="30">
        <v>-1400</v>
      </c>
      <c r="BL12" s="30">
        <v>-1400</v>
      </c>
      <c r="BM12" s="30">
        <v>-1400</v>
      </c>
      <c r="BN12" s="30">
        <v>-1400</v>
      </c>
      <c r="BO12" s="30">
        <v>-1400</v>
      </c>
      <c r="BP12" s="30">
        <v>-1400</v>
      </c>
      <c r="BQ12" s="30">
        <v>-1400</v>
      </c>
      <c r="BR12" s="30">
        <v>-1400</v>
      </c>
      <c r="BS12" s="30">
        <v>-1400</v>
      </c>
      <c r="BT12" s="30">
        <v>-1400</v>
      </c>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c r="CV12" s="30"/>
      <c r="CW12" s="30"/>
      <c r="CX12" s="30"/>
      <c r="CY12" s="30"/>
      <c r="CZ12" s="30"/>
      <c r="DA12" s="30"/>
      <c r="DB12" s="30"/>
      <c r="DC12" s="30"/>
      <c r="DD12" s="30"/>
      <c r="DE12" s="30"/>
      <c r="DF12" s="30"/>
      <c r="DG12" s="30"/>
      <c r="DH12" s="30"/>
      <c r="DI12" s="30"/>
      <c r="DJ12" s="30"/>
    </row>
    <row r="13" spans="1:114">
      <c r="G13" s="21"/>
      <c r="H13" s="21"/>
      <c r="I13" s="21"/>
      <c r="J13" s="21" t="str">
        <f xml:space="preserve"> _xll.EPMOlapMemberO("[KEY_FIGURES].[].[STATISTICALFORECASTQTY]","","Statistical Fcst Qty","","000")</f>
        <v>Statistical Fcst Qty</v>
      </c>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0"/>
      <c r="BH13" s="30"/>
      <c r="BI13" s="30"/>
      <c r="BJ13" s="30">
        <v>1400</v>
      </c>
      <c r="BK13" s="30">
        <v>1400</v>
      </c>
      <c r="BL13" s="30">
        <v>1400</v>
      </c>
      <c r="BM13" s="30">
        <v>1400</v>
      </c>
      <c r="BN13" s="30">
        <v>1400</v>
      </c>
      <c r="BO13" s="30">
        <v>1400</v>
      </c>
      <c r="BP13" s="30">
        <v>1400</v>
      </c>
      <c r="BQ13" s="30">
        <v>1400</v>
      </c>
      <c r="BR13" s="30">
        <v>1400</v>
      </c>
      <c r="BS13" s="30">
        <v>1400</v>
      </c>
      <c r="BT13" s="30">
        <v>1400</v>
      </c>
      <c r="BU13" s="30">
        <v>1400</v>
      </c>
      <c r="BV13" s="30">
        <v>1400</v>
      </c>
      <c r="BW13" s="30">
        <v>1400</v>
      </c>
      <c r="BX13" s="30">
        <v>1400</v>
      </c>
      <c r="BY13" s="30">
        <v>1400</v>
      </c>
      <c r="BZ13" s="30">
        <v>1400</v>
      </c>
      <c r="CA13" s="30">
        <v>1400</v>
      </c>
      <c r="CB13" s="30">
        <v>1400</v>
      </c>
      <c r="CC13" s="30">
        <v>1400</v>
      </c>
      <c r="CD13" s="30">
        <v>1400</v>
      </c>
      <c r="CE13" s="30">
        <v>1400</v>
      </c>
      <c r="CF13" s="30">
        <v>1400</v>
      </c>
      <c r="CG13" s="30">
        <v>1400</v>
      </c>
      <c r="CH13" s="30">
        <v>1400</v>
      </c>
      <c r="CI13" s="30">
        <v>1400</v>
      </c>
      <c r="CJ13" s="30">
        <v>1400</v>
      </c>
      <c r="CK13" s="30">
        <v>1400</v>
      </c>
      <c r="CL13" s="30">
        <v>1400</v>
      </c>
      <c r="CM13" s="30">
        <v>1400</v>
      </c>
      <c r="CN13" s="30">
        <v>1400</v>
      </c>
      <c r="CO13" s="30">
        <v>1400</v>
      </c>
      <c r="CP13" s="30">
        <v>1400</v>
      </c>
      <c r="CQ13" s="30">
        <v>1400</v>
      </c>
      <c r="CR13" s="30">
        <v>1400</v>
      </c>
      <c r="CS13" s="30">
        <v>1400</v>
      </c>
      <c r="CT13" s="30">
        <v>1400</v>
      </c>
      <c r="CU13" s="30">
        <v>1400</v>
      </c>
      <c r="CV13" s="30">
        <v>1400</v>
      </c>
      <c r="CW13" s="30">
        <v>1400</v>
      </c>
      <c r="CX13" s="30">
        <v>1400</v>
      </c>
      <c r="CY13" s="30">
        <v>1400</v>
      </c>
      <c r="CZ13" s="30">
        <v>1400</v>
      </c>
      <c r="DA13" s="30">
        <v>1400</v>
      </c>
      <c r="DB13" s="30">
        <v>1400</v>
      </c>
      <c r="DC13" s="30">
        <v>1400</v>
      </c>
      <c r="DD13" s="30">
        <v>1400</v>
      </c>
      <c r="DE13" s="30">
        <v>1400</v>
      </c>
      <c r="DF13" s="30">
        <v>1400</v>
      </c>
      <c r="DG13" s="30">
        <v>1400</v>
      </c>
      <c r="DH13" s="30">
        <v>1400</v>
      </c>
      <c r="DI13" s="30">
        <v>1400</v>
      </c>
      <c r="DJ13" s="30"/>
    </row>
    <row r="14" spans="1:114">
      <c r="G14" s="21"/>
      <c r="H14" s="21"/>
      <c r="I14" s="21" t="str">
        <f xml:space="preserve"> _xll.EPMOlapMemberO("[CUSTID].[].[0037100002]","","0037100002","","000")</f>
        <v>0037100002</v>
      </c>
      <c r="J14" s="21" t="str">
        <f xml:space="preserve"> _xll.EPMOlapMemberO("[KEY_FIGURES].[].[STATISTICALEXPOSTFORECASTQTY]","","Ex-Post Fcst Qty","","000")</f>
        <v>Ex-Post Fcst Qty</v>
      </c>
      <c r="K14" s="30">
        <v>1400</v>
      </c>
      <c r="L14" s="30">
        <v>1400</v>
      </c>
      <c r="M14" s="30">
        <v>1400</v>
      </c>
      <c r="N14" s="30">
        <v>1400</v>
      </c>
      <c r="O14" s="30">
        <v>1400</v>
      </c>
      <c r="P14" s="30">
        <v>1400</v>
      </c>
      <c r="Q14" s="30">
        <v>1400</v>
      </c>
      <c r="R14" s="30">
        <v>1400</v>
      </c>
      <c r="S14" s="30">
        <v>1400</v>
      </c>
      <c r="T14" s="30">
        <v>1400</v>
      </c>
      <c r="U14" s="30">
        <v>1400</v>
      </c>
      <c r="V14" s="30">
        <v>1400</v>
      </c>
      <c r="W14" s="30">
        <v>1400</v>
      </c>
      <c r="X14" s="30">
        <v>1400</v>
      </c>
      <c r="Y14" s="30">
        <v>1400</v>
      </c>
      <c r="Z14" s="30">
        <v>1400</v>
      </c>
      <c r="AA14" s="30">
        <v>1400</v>
      </c>
      <c r="AB14" s="30">
        <v>1400</v>
      </c>
      <c r="AC14" s="30">
        <v>1400</v>
      </c>
      <c r="AD14" s="30">
        <v>1400</v>
      </c>
      <c r="AE14" s="30">
        <v>1400</v>
      </c>
      <c r="AF14" s="30">
        <v>1400</v>
      </c>
      <c r="AG14" s="30">
        <v>1400</v>
      </c>
      <c r="AH14" s="30">
        <v>1400</v>
      </c>
      <c r="AI14" s="30">
        <v>1400</v>
      </c>
      <c r="AJ14" s="30">
        <v>1400</v>
      </c>
      <c r="AK14" s="30">
        <v>1400</v>
      </c>
      <c r="AL14" s="30">
        <v>1400</v>
      </c>
      <c r="AM14" s="30">
        <v>1400</v>
      </c>
      <c r="AN14" s="30">
        <v>1400</v>
      </c>
      <c r="AO14" s="30">
        <v>1400</v>
      </c>
      <c r="AP14" s="30">
        <v>1400</v>
      </c>
      <c r="AQ14" s="30">
        <v>1400</v>
      </c>
      <c r="AR14" s="30">
        <v>1400</v>
      </c>
      <c r="AS14" s="30">
        <v>1400</v>
      </c>
      <c r="AT14" s="30">
        <v>1400</v>
      </c>
      <c r="AU14" s="30">
        <v>1400</v>
      </c>
      <c r="AV14" s="30">
        <v>1400</v>
      </c>
      <c r="AW14" s="30">
        <v>1400</v>
      </c>
      <c r="AX14" s="30">
        <v>1400</v>
      </c>
      <c r="AY14" s="30">
        <v>1400</v>
      </c>
      <c r="AZ14" s="30">
        <v>1400</v>
      </c>
      <c r="BA14" s="30">
        <v>1400</v>
      </c>
      <c r="BB14" s="30">
        <v>1400</v>
      </c>
      <c r="BC14" s="30">
        <v>1400</v>
      </c>
      <c r="BD14" s="30">
        <v>1400</v>
      </c>
      <c r="BE14" s="30">
        <v>1400</v>
      </c>
      <c r="BF14" s="30">
        <v>1400</v>
      </c>
      <c r="BG14" s="30">
        <v>1400</v>
      </c>
      <c r="BH14" s="30">
        <v>1400</v>
      </c>
      <c r="BI14" s="30">
        <v>1400</v>
      </c>
      <c r="BJ14" s="30"/>
      <c r="BK14" s="30"/>
      <c r="BL14" s="30"/>
      <c r="BM14" s="30"/>
      <c r="BN14" s="30"/>
      <c r="BO14" s="30"/>
      <c r="BP14" s="30"/>
      <c r="BQ14" s="30"/>
      <c r="BR14" s="30"/>
      <c r="BS14" s="30"/>
      <c r="BT14" s="30"/>
      <c r="BU14" s="30"/>
      <c r="BV14" s="30"/>
      <c r="BW14" s="30"/>
      <c r="BX14" s="30"/>
      <c r="BY14" s="30"/>
      <c r="BZ14" s="30"/>
      <c r="CA14" s="30"/>
      <c r="CB14" s="30"/>
      <c r="CC14" s="30"/>
      <c r="CD14" s="30"/>
      <c r="CE14" s="30"/>
      <c r="CF14" s="30"/>
      <c r="CG14" s="30"/>
      <c r="CH14" s="30"/>
      <c r="CI14" s="30"/>
      <c r="CJ14" s="30"/>
      <c r="CK14" s="30"/>
      <c r="CL14" s="30"/>
      <c r="CM14" s="30"/>
      <c r="CN14" s="30"/>
      <c r="CO14" s="30"/>
      <c r="CP14" s="30"/>
      <c r="CQ14" s="30"/>
      <c r="CR14" s="30"/>
      <c r="CS14" s="30"/>
      <c r="CT14" s="30"/>
      <c r="CU14" s="30"/>
      <c r="CV14" s="30"/>
      <c r="CW14" s="30"/>
      <c r="CX14" s="30"/>
      <c r="CY14" s="30"/>
      <c r="CZ14" s="30"/>
      <c r="DA14" s="30"/>
      <c r="DB14" s="30"/>
      <c r="DC14" s="30"/>
      <c r="DD14" s="30"/>
      <c r="DE14" s="30"/>
      <c r="DF14" s="30"/>
      <c r="DG14" s="30"/>
      <c r="DH14" s="30"/>
      <c r="DI14" s="30"/>
      <c r="DJ14" s="30"/>
    </row>
    <row r="15" spans="1:114">
      <c r="G15" s="42"/>
      <c r="H15" s="42"/>
      <c r="I15" s="42"/>
      <c r="J15" s="42" t="str">
        <f xml:space="preserve"> _xll.EPMOlapMemberO("[KEY_FIGURES].[].[ADJUSTEDACTUALSQTY]","","Actuals Qty Adj.","","000")</f>
        <v>Actuals Qty Adj.</v>
      </c>
      <c r="K15" s="62">
        <v>1400</v>
      </c>
      <c r="L15" s="62">
        <v>1400</v>
      </c>
      <c r="M15" s="62">
        <v>1400</v>
      </c>
      <c r="N15" s="62">
        <v>1400</v>
      </c>
      <c r="O15" s="62">
        <v>1400</v>
      </c>
      <c r="P15" s="62">
        <v>1400</v>
      </c>
      <c r="Q15" s="62">
        <v>1400</v>
      </c>
      <c r="R15" s="62">
        <v>1400</v>
      </c>
      <c r="S15" s="62">
        <v>1400</v>
      </c>
      <c r="T15" s="62">
        <v>1400</v>
      </c>
      <c r="U15" s="62">
        <v>1400</v>
      </c>
      <c r="V15" s="62">
        <v>1400</v>
      </c>
      <c r="W15" s="62">
        <v>1400</v>
      </c>
      <c r="X15" s="62">
        <v>1400</v>
      </c>
      <c r="Y15" s="62">
        <v>1400</v>
      </c>
      <c r="Z15" s="62">
        <v>1400</v>
      </c>
      <c r="AA15" s="62">
        <v>1400</v>
      </c>
      <c r="AB15" s="62">
        <v>1400</v>
      </c>
      <c r="AC15" s="62">
        <v>1400</v>
      </c>
      <c r="AD15" s="62">
        <v>1400</v>
      </c>
      <c r="AE15" s="62">
        <v>1400</v>
      </c>
      <c r="AF15" s="62">
        <v>1400</v>
      </c>
      <c r="AG15" s="62">
        <v>1400</v>
      </c>
      <c r="AH15" s="62">
        <v>1400</v>
      </c>
      <c r="AI15" s="62">
        <v>1400</v>
      </c>
      <c r="AJ15" s="62">
        <v>1400</v>
      </c>
      <c r="AK15" s="62">
        <v>1400</v>
      </c>
      <c r="AL15" s="62">
        <v>1400</v>
      </c>
      <c r="AM15" s="62">
        <v>1400</v>
      </c>
      <c r="AN15" s="62">
        <v>1400</v>
      </c>
      <c r="AO15" s="62">
        <v>1400</v>
      </c>
      <c r="AP15" s="62">
        <v>1400</v>
      </c>
      <c r="AQ15" s="62">
        <v>1400</v>
      </c>
      <c r="AR15" s="62">
        <v>1400</v>
      </c>
      <c r="AS15" s="62">
        <v>1400</v>
      </c>
      <c r="AT15" s="62">
        <v>1400</v>
      </c>
      <c r="AU15" s="62">
        <v>1400</v>
      </c>
      <c r="AV15" s="62">
        <v>1400</v>
      </c>
      <c r="AW15" s="62">
        <v>1400</v>
      </c>
      <c r="AX15" s="62">
        <v>1400</v>
      </c>
      <c r="AY15" s="62">
        <v>1400</v>
      </c>
      <c r="AZ15" s="62">
        <v>1400</v>
      </c>
      <c r="BA15" s="62">
        <v>1400</v>
      </c>
      <c r="BB15" s="62">
        <v>1400</v>
      </c>
      <c r="BC15" s="62">
        <v>1400</v>
      </c>
      <c r="BD15" s="62">
        <v>1400</v>
      </c>
      <c r="BE15" s="62">
        <v>1400</v>
      </c>
      <c r="BF15" s="62">
        <v>1400</v>
      </c>
      <c r="BG15" s="62">
        <v>1400</v>
      </c>
      <c r="BH15" s="62">
        <v>1400</v>
      </c>
      <c r="BI15" s="62">
        <v>1400</v>
      </c>
      <c r="BJ15" s="62">
        <v>1400</v>
      </c>
      <c r="BK15" s="62">
        <v>1400</v>
      </c>
      <c r="BL15" s="62">
        <v>1400</v>
      </c>
      <c r="BM15" s="62">
        <v>1400</v>
      </c>
      <c r="BN15" s="62">
        <v>1400</v>
      </c>
      <c r="BO15" s="62">
        <v>1400</v>
      </c>
      <c r="BP15" s="62">
        <v>1400</v>
      </c>
      <c r="BQ15" s="62">
        <v>1400</v>
      </c>
      <c r="BR15" s="62">
        <v>1400</v>
      </c>
      <c r="BS15" s="62">
        <v>1400</v>
      </c>
      <c r="BT15" s="62">
        <v>1400</v>
      </c>
      <c r="BU15" s="62"/>
      <c r="BV15" s="62"/>
      <c r="BW15" s="62"/>
      <c r="BX15" s="62"/>
      <c r="BY15" s="62"/>
      <c r="BZ15" s="62"/>
      <c r="CA15" s="62"/>
      <c r="CB15" s="62"/>
      <c r="CC15" s="62"/>
      <c r="CD15" s="62"/>
      <c r="CE15" s="62"/>
      <c r="CF15" s="62"/>
      <c r="CG15" s="62"/>
      <c r="CH15" s="62"/>
      <c r="CI15" s="62"/>
      <c r="CJ15" s="62"/>
      <c r="CK15" s="62"/>
      <c r="CL15" s="62"/>
      <c r="CM15" s="62"/>
      <c r="CN15" s="62"/>
      <c r="CO15" s="62"/>
      <c r="CP15" s="62"/>
      <c r="CQ15" s="62"/>
      <c r="CR15" s="62"/>
      <c r="CS15" s="62"/>
      <c r="CT15" s="62"/>
      <c r="CU15" s="62"/>
      <c r="CV15" s="62"/>
      <c r="CW15" s="62"/>
      <c r="CX15" s="62"/>
      <c r="CY15" s="62"/>
      <c r="CZ15" s="62"/>
      <c r="DA15" s="62"/>
      <c r="DB15" s="62"/>
      <c r="DC15" s="62"/>
      <c r="DD15" s="62"/>
      <c r="DE15" s="62"/>
      <c r="DF15" s="62"/>
      <c r="DG15" s="62"/>
      <c r="DH15" s="62"/>
      <c r="DI15" s="62"/>
      <c r="DJ15" s="62"/>
    </row>
    <row r="16" spans="1:114">
      <c r="G16" s="21"/>
      <c r="H16" s="21"/>
      <c r="I16" s="21"/>
      <c r="J16" s="21" t="str">
        <f xml:space="preserve"> _xll.EPMOlapMemberO("[KEY_FIGURES].[].[RESIDUALEXPOSTFCSTACTUALSADJ]","","Residuals Ex-Post Fcst - Actuals Qty Adj","","000")</f>
        <v>Residuals Ex-Post Fcst - Actuals Qty Adj</v>
      </c>
      <c r="K16" s="30">
        <v>0</v>
      </c>
      <c r="L16" s="30">
        <v>0</v>
      </c>
      <c r="M16" s="30">
        <v>0</v>
      </c>
      <c r="N16" s="30">
        <v>0</v>
      </c>
      <c r="O16" s="30">
        <v>0</v>
      </c>
      <c r="P16" s="30">
        <v>0</v>
      </c>
      <c r="Q16" s="30">
        <v>0</v>
      </c>
      <c r="R16" s="30">
        <v>0</v>
      </c>
      <c r="S16" s="30">
        <v>0</v>
      </c>
      <c r="T16" s="30">
        <v>0</v>
      </c>
      <c r="U16" s="30">
        <v>0</v>
      </c>
      <c r="V16" s="30">
        <v>0</v>
      </c>
      <c r="W16" s="30">
        <v>0</v>
      </c>
      <c r="X16" s="30">
        <v>0</v>
      </c>
      <c r="Y16" s="30">
        <v>0</v>
      </c>
      <c r="Z16" s="30">
        <v>0</v>
      </c>
      <c r="AA16" s="30">
        <v>0</v>
      </c>
      <c r="AB16" s="30">
        <v>0</v>
      </c>
      <c r="AC16" s="30">
        <v>0</v>
      </c>
      <c r="AD16" s="30">
        <v>0</v>
      </c>
      <c r="AE16" s="30">
        <v>0</v>
      </c>
      <c r="AF16" s="30">
        <v>0</v>
      </c>
      <c r="AG16" s="30">
        <v>0</v>
      </c>
      <c r="AH16" s="30">
        <v>0</v>
      </c>
      <c r="AI16" s="30">
        <v>0</v>
      </c>
      <c r="AJ16" s="30">
        <v>0</v>
      </c>
      <c r="AK16" s="30">
        <v>0</v>
      </c>
      <c r="AL16" s="30">
        <v>0</v>
      </c>
      <c r="AM16" s="30">
        <v>0</v>
      </c>
      <c r="AN16" s="30">
        <v>0</v>
      </c>
      <c r="AO16" s="30">
        <v>0</v>
      </c>
      <c r="AP16" s="30">
        <v>0</v>
      </c>
      <c r="AQ16" s="30">
        <v>0</v>
      </c>
      <c r="AR16" s="30">
        <v>0</v>
      </c>
      <c r="AS16" s="30">
        <v>0</v>
      </c>
      <c r="AT16" s="30">
        <v>0</v>
      </c>
      <c r="AU16" s="30">
        <v>0</v>
      </c>
      <c r="AV16" s="30">
        <v>0</v>
      </c>
      <c r="AW16" s="30">
        <v>0</v>
      </c>
      <c r="AX16" s="30">
        <v>0</v>
      </c>
      <c r="AY16" s="30">
        <v>0</v>
      </c>
      <c r="AZ16" s="30">
        <v>0</v>
      </c>
      <c r="BA16" s="30">
        <v>0</v>
      </c>
      <c r="BB16" s="30">
        <v>0</v>
      </c>
      <c r="BC16" s="30">
        <v>0</v>
      </c>
      <c r="BD16" s="30">
        <v>0</v>
      </c>
      <c r="BE16" s="30">
        <v>0</v>
      </c>
      <c r="BF16" s="30">
        <v>0</v>
      </c>
      <c r="BG16" s="30">
        <v>0</v>
      </c>
      <c r="BH16" s="30">
        <v>0</v>
      </c>
      <c r="BI16" s="30">
        <v>0</v>
      </c>
      <c r="BJ16" s="30">
        <v>-1400</v>
      </c>
      <c r="BK16" s="30">
        <v>-1400</v>
      </c>
      <c r="BL16" s="30">
        <v>-1400</v>
      </c>
      <c r="BM16" s="30">
        <v>-1400</v>
      </c>
      <c r="BN16" s="30">
        <v>-1400</v>
      </c>
      <c r="BO16" s="30">
        <v>-1400</v>
      </c>
      <c r="BP16" s="30">
        <v>-1400</v>
      </c>
      <c r="BQ16" s="30">
        <v>-1400</v>
      </c>
      <c r="BR16" s="30">
        <v>-1400</v>
      </c>
      <c r="BS16" s="30">
        <v>-1400</v>
      </c>
      <c r="BT16" s="30">
        <v>-1400</v>
      </c>
      <c r="BU16" s="30"/>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c r="DA16" s="30"/>
      <c r="DB16" s="30"/>
      <c r="DC16" s="30"/>
      <c r="DD16" s="30"/>
      <c r="DE16" s="30"/>
      <c r="DF16" s="30"/>
      <c r="DG16" s="30"/>
      <c r="DH16" s="30"/>
      <c r="DI16" s="30"/>
      <c r="DJ16" s="30"/>
    </row>
    <row r="17" spans="7:114">
      <c r="G17" s="21"/>
      <c r="H17" s="21"/>
      <c r="I17" s="21"/>
      <c r="J17" s="21" t="str">
        <f xml:space="preserve"> _xll.EPMOlapMemberO("[KEY_FIGURES].[].[STATISTICALFORECASTQTY]","","Statistical Fcst Qty","","000")</f>
        <v>Statistical Fcst Qty</v>
      </c>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v>1400</v>
      </c>
      <c r="BK17" s="30">
        <v>1400</v>
      </c>
      <c r="BL17" s="30">
        <v>1400</v>
      </c>
      <c r="BM17" s="30">
        <v>1400</v>
      </c>
      <c r="BN17" s="30">
        <v>1400</v>
      </c>
      <c r="BO17" s="30">
        <v>1400</v>
      </c>
      <c r="BP17" s="30">
        <v>1400</v>
      </c>
      <c r="BQ17" s="30">
        <v>1400</v>
      </c>
      <c r="BR17" s="30">
        <v>1400</v>
      </c>
      <c r="BS17" s="30">
        <v>1400</v>
      </c>
      <c r="BT17" s="30">
        <v>1400</v>
      </c>
      <c r="BU17" s="30">
        <v>1400</v>
      </c>
      <c r="BV17" s="30">
        <v>1400</v>
      </c>
      <c r="BW17" s="30">
        <v>1400</v>
      </c>
      <c r="BX17" s="30">
        <v>1400</v>
      </c>
      <c r="BY17" s="30">
        <v>1400</v>
      </c>
      <c r="BZ17" s="30">
        <v>1400</v>
      </c>
      <c r="CA17" s="30">
        <v>1400</v>
      </c>
      <c r="CB17" s="30">
        <v>1400</v>
      </c>
      <c r="CC17" s="30">
        <v>1400</v>
      </c>
      <c r="CD17" s="30">
        <v>1400</v>
      </c>
      <c r="CE17" s="30">
        <v>1400</v>
      </c>
      <c r="CF17" s="30">
        <v>1400</v>
      </c>
      <c r="CG17" s="30">
        <v>1400</v>
      </c>
      <c r="CH17" s="30">
        <v>1400</v>
      </c>
      <c r="CI17" s="30">
        <v>1400</v>
      </c>
      <c r="CJ17" s="30">
        <v>1400</v>
      </c>
      <c r="CK17" s="30">
        <v>1400</v>
      </c>
      <c r="CL17" s="30">
        <v>1400</v>
      </c>
      <c r="CM17" s="30">
        <v>1400</v>
      </c>
      <c r="CN17" s="30">
        <v>1400</v>
      </c>
      <c r="CO17" s="30">
        <v>1400</v>
      </c>
      <c r="CP17" s="30">
        <v>1400</v>
      </c>
      <c r="CQ17" s="30">
        <v>1400</v>
      </c>
      <c r="CR17" s="30">
        <v>1400</v>
      </c>
      <c r="CS17" s="30">
        <v>1400</v>
      </c>
      <c r="CT17" s="30">
        <v>1400</v>
      </c>
      <c r="CU17" s="30">
        <v>1400</v>
      </c>
      <c r="CV17" s="30">
        <v>1400</v>
      </c>
      <c r="CW17" s="30">
        <v>1400</v>
      </c>
      <c r="CX17" s="30">
        <v>1400</v>
      </c>
      <c r="CY17" s="30">
        <v>1400</v>
      </c>
      <c r="CZ17" s="30">
        <v>1400</v>
      </c>
      <c r="DA17" s="30">
        <v>1400</v>
      </c>
      <c r="DB17" s="30">
        <v>1400</v>
      </c>
      <c r="DC17" s="30">
        <v>1400</v>
      </c>
      <c r="DD17" s="30">
        <v>1400</v>
      </c>
      <c r="DE17" s="30">
        <v>1400</v>
      </c>
      <c r="DF17" s="30">
        <v>1400</v>
      </c>
      <c r="DG17" s="30">
        <v>1400</v>
      </c>
      <c r="DH17" s="30">
        <v>1400</v>
      </c>
      <c r="DI17" s="30">
        <v>1400</v>
      </c>
      <c r="DJ17" s="30"/>
    </row>
    <row r="18" spans="7:114">
      <c r="G18" s="21"/>
      <c r="H18" s="21" t="str">
        <f xml:space="preserve"> _xll.EPMOlapMemberO("[LOCID].[].[6210]","","6210","","000")</f>
        <v>6210</v>
      </c>
      <c r="I18" s="21" t="str">
        <f xml:space="preserve"> _xll.EPMOlapMemberO("[CUSTID].[].[0062100001]","","0062100001","","000")</f>
        <v>0062100001</v>
      </c>
      <c r="J18" s="21" t="str">
        <f xml:space="preserve"> _xll.EPMOlapMemberO("[KEY_FIGURES].[].[STATISTICALEXPOSTFORECASTQTY]","","Ex-Post Fcst Qty","","000")</f>
        <v>Ex-Post Fcst Qty</v>
      </c>
      <c r="K18" s="30">
        <v>473.85332199999999</v>
      </c>
      <c r="L18" s="30">
        <v>575.38010699999995</v>
      </c>
      <c r="M18" s="30">
        <v>583.41309799999999</v>
      </c>
      <c r="N18" s="30">
        <v>695.77629000000002</v>
      </c>
      <c r="O18" s="30">
        <v>584.56326100000001</v>
      </c>
      <c r="P18" s="30">
        <v>697.28497200000004</v>
      </c>
      <c r="Q18" s="30">
        <v>657.01049799999998</v>
      </c>
      <c r="R18" s="30">
        <v>555.39373599999999</v>
      </c>
      <c r="S18" s="30">
        <v>697.65481999999997</v>
      </c>
      <c r="T18" s="30">
        <v>585.32417899999996</v>
      </c>
      <c r="U18" s="30">
        <v>505.34242899999998</v>
      </c>
      <c r="V18" s="30">
        <v>629.84870999999998</v>
      </c>
      <c r="W18" s="30">
        <v>532.07987700000001</v>
      </c>
      <c r="X18" s="30">
        <v>554.24525500000004</v>
      </c>
      <c r="Y18" s="30">
        <v>618.60018600000001</v>
      </c>
      <c r="Z18" s="30">
        <v>677.25819000000001</v>
      </c>
      <c r="AA18" s="30">
        <v>584.79538500000001</v>
      </c>
      <c r="AB18" s="30">
        <v>712.03083800000002</v>
      </c>
      <c r="AC18" s="30">
        <v>584.89149399999997</v>
      </c>
      <c r="AD18" s="30">
        <v>546.159583</v>
      </c>
      <c r="AE18" s="30">
        <v>616.48768900000005</v>
      </c>
      <c r="AF18" s="30">
        <v>604.88709400000005</v>
      </c>
      <c r="AG18" s="30">
        <v>488.25840499999998</v>
      </c>
      <c r="AH18" s="30">
        <v>568.77496499999995</v>
      </c>
      <c r="AI18" s="30">
        <v>447.65655199999998</v>
      </c>
      <c r="AJ18" s="30">
        <v>594.64800200000002</v>
      </c>
      <c r="AK18" s="30">
        <v>624.74862800000005</v>
      </c>
      <c r="AL18" s="30">
        <v>535.249684</v>
      </c>
      <c r="AM18" s="30">
        <v>601.66351799999995</v>
      </c>
      <c r="AN18" s="30">
        <v>536.68291899999997</v>
      </c>
      <c r="AO18" s="30">
        <v>540.49271899999997</v>
      </c>
      <c r="AP18" s="30">
        <v>545.70700299999999</v>
      </c>
      <c r="AQ18" s="30">
        <v>525.22291099999995</v>
      </c>
      <c r="AR18" s="30">
        <v>559.17831100000001</v>
      </c>
      <c r="AS18" s="30">
        <v>678.96098099999995</v>
      </c>
      <c r="AT18" s="30">
        <v>592.30597999999998</v>
      </c>
      <c r="AU18" s="30">
        <v>662.96691299999998</v>
      </c>
      <c r="AV18" s="30">
        <v>552.499505</v>
      </c>
      <c r="AW18" s="30">
        <v>678.07646599999998</v>
      </c>
      <c r="AX18" s="30">
        <v>722.99370299999998</v>
      </c>
      <c r="AY18" s="30">
        <v>546.78208500000005</v>
      </c>
      <c r="AZ18" s="30">
        <v>518.72075900000004</v>
      </c>
      <c r="BA18" s="30">
        <v>482.38081199999999</v>
      </c>
      <c r="BB18" s="30">
        <v>444.82696499999997</v>
      </c>
      <c r="BC18" s="30">
        <v>579.41685299999995</v>
      </c>
      <c r="BD18" s="30">
        <v>699.17193199999997</v>
      </c>
      <c r="BE18" s="30">
        <v>537.89820899999995</v>
      </c>
      <c r="BF18" s="30">
        <v>510.27465999999998</v>
      </c>
      <c r="BG18" s="30">
        <v>509.34981099999999</v>
      </c>
      <c r="BH18" s="30">
        <v>637.44009100000005</v>
      </c>
      <c r="BI18" s="30">
        <v>651.134004</v>
      </c>
      <c r="BJ18" s="30"/>
      <c r="BK18" s="30"/>
      <c r="BL18" s="30"/>
      <c r="BM18" s="30"/>
      <c r="BN18" s="30"/>
      <c r="BO18" s="30"/>
      <c r="BP18" s="30"/>
      <c r="BQ18" s="30"/>
      <c r="BR18" s="30"/>
      <c r="BS18" s="30"/>
      <c r="BT18" s="30"/>
      <c r="BU18" s="30"/>
      <c r="BV18" s="30"/>
      <c r="BW18" s="30"/>
      <c r="BX18" s="30"/>
      <c r="BY18" s="30"/>
      <c r="BZ18" s="30"/>
      <c r="CA18" s="30"/>
      <c r="CB18" s="30"/>
      <c r="CC18" s="30"/>
      <c r="CD18" s="30"/>
      <c r="CE18" s="30"/>
      <c r="CF18" s="30"/>
      <c r="CG18" s="30"/>
      <c r="CH18" s="30"/>
      <c r="CI18" s="30"/>
      <c r="CJ18" s="30"/>
      <c r="CK18" s="30"/>
      <c r="CL18" s="30"/>
      <c r="CM18" s="30"/>
      <c r="CN18" s="30"/>
      <c r="CO18" s="30"/>
      <c r="CP18" s="30"/>
      <c r="CQ18" s="30"/>
      <c r="CR18" s="30"/>
      <c r="CS18" s="30"/>
      <c r="CT18" s="30"/>
      <c r="CU18" s="30"/>
      <c r="CV18" s="30"/>
      <c r="CW18" s="30"/>
      <c r="CX18" s="30"/>
      <c r="CY18" s="30"/>
      <c r="CZ18" s="30"/>
      <c r="DA18" s="30"/>
      <c r="DB18" s="30"/>
      <c r="DC18" s="30"/>
      <c r="DD18" s="30"/>
      <c r="DE18" s="30"/>
      <c r="DF18" s="30"/>
      <c r="DG18" s="30"/>
      <c r="DH18" s="30"/>
      <c r="DI18" s="30"/>
      <c r="DJ18" s="30"/>
    </row>
    <row r="19" spans="7:114">
      <c r="G19" s="42"/>
      <c r="H19" s="42"/>
      <c r="I19" s="42"/>
      <c r="J19" s="42" t="str">
        <f xml:space="preserve"> _xll.EPMOlapMemberO("[KEY_FIGURES].[].[ADJUSTEDACTUALSQTY]","","Actuals Qty Adj.","","000")</f>
        <v>Actuals Qty Adj.</v>
      </c>
      <c r="K19" s="62">
        <v>485</v>
      </c>
      <c r="L19" s="62">
        <v>555</v>
      </c>
      <c r="M19" s="62">
        <v>565</v>
      </c>
      <c r="N19" s="62">
        <v>733</v>
      </c>
      <c r="O19" s="62">
        <v>602</v>
      </c>
      <c r="P19" s="62">
        <v>674</v>
      </c>
      <c r="Q19" s="62">
        <v>665</v>
      </c>
      <c r="R19" s="62">
        <v>552</v>
      </c>
      <c r="S19" s="62">
        <v>703</v>
      </c>
      <c r="T19" s="62">
        <v>599</v>
      </c>
      <c r="U19" s="62">
        <v>456</v>
      </c>
      <c r="V19" s="62">
        <v>609</v>
      </c>
      <c r="W19" s="62">
        <v>494</v>
      </c>
      <c r="X19" s="62">
        <v>560</v>
      </c>
      <c r="Y19" s="62">
        <v>644</v>
      </c>
      <c r="Z19" s="62">
        <v>668</v>
      </c>
      <c r="AA19" s="62">
        <v>552</v>
      </c>
      <c r="AB19" s="62">
        <v>772</v>
      </c>
      <c r="AC19" s="62">
        <v>632</v>
      </c>
      <c r="AD19" s="62">
        <v>546</v>
      </c>
      <c r="AE19" s="62">
        <v>621</v>
      </c>
      <c r="AF19" s="62">
        <v>601</v>
      </c>
      <c r="AG19" s="62">
        <v>466</v>
      </c>
      <c r="AH19" s="62">
        <v>602</v>
      </c>
      <c r="AI19" s="62">
        <v>425</v>
      </c>
      <c r="AJ19" s="62">
        <v>585</v>
      </c>
      <c r="AK19" s="62">
        <v>625</v>
      </c>
      <c r="AL19" s="62">
        <v>518</v>
      </c>
      <c r="AM19" s="62">
        <v>626</v>
      </c>
      <c r="AN19" s="62">
        <v>509</v>
      </c>
      <c r="AO19" s="62">
        <v>531</v>
      </c>
      <c r="AP19" s="62">
        <v>620</v>
      </c>
      <c r="AQ19" s="62">
        <v>535</v>
      </c>
      <c r="AR19" s="62">
        <v>564</v>
      </c>
      <c r="AS19" s="62">
        <v>698</v>
      </c>
      <c r="AT19" s="62">
        <v>572</v>
      </c>
      <c r="AU19" s="62">
        <v>672</v>
      </c>
      <c r="AV19" s="62">
        <v>552</v>
      </c>
      <c r="AW19" s="62">
        <v>682</v>
      </c>
      <c r="AX19" s="62">
        <v>710</v>
      </c>
      <c r="AY19" s="62">
        <v>538</v>
      </c>
      <c r="AZ19" s="62">
        <v>497</v>
      </c>
      <c r="BA19" s="62">
        <v>477</v>
      </c>
      <c r="BB19" s="62">
        <v>420</v>
      </c>
      <c r="BC19" s="62">
        <v>575</v>
      </c>
      <c r="BD19" s="62">
        <v>703</v>
      </c>
      <c r="BE19" s="62">
        <v>538</v>
      </c>
      <c r="BF19" s="62">
        <v>532</v>
      </c>
      <c r="BG19" s="62">
        <v>536</v>
      </c>
      <c r="BH19" s="62">
        <v>629</v>
      </c>
      <c r="BI19" s="62">
        <v>675</v>
      </c>
      <c r="BJ19" s="62">
        <v>605</v>
      </c>
      <c r="BK19" s="62">
        <v>542</v>
      </c>
      <c r="BL19" s="62">
        <v>603</v>
      </c>
      <c r="BM19" s="62">
        <v>542</v>
      </c>
      <c r="BN19" s="62">
        <v>577</v>
      </c>
      <c r="BO19" s="62">
        <v>599</v>
      </c>
      <c r="BP19" s="62">
        <v>573</v>
      </c>
      <c r="BQ19" s="62">
        <v>584</v>
      </c>
      <c r="BR19" s="62">
        <v>522</v>
      </c>
      <c r="BS19" s="62">
        <v>542</v>
      </c>
      <c r="BT19" s="62">
        <v>688</v>
      </c>
      <c r="BU19" s="62"/>
      <c r="BV19" s="62"/>
      <c r="BW19" s="62"/>
      <c r="BX19" s="62"/>
      <c r="BY19" s="62"/>
      <c r="BZ19" s="62"/>
      <c r="CA19" s="62"/>
      <c r="CB19" s="62"/>
      <c r="CC19" s="62"/>
      <c r="CD19" s="62"/>
      <c r="CE19" s="62"/>
      <c r="CF19" s="62"/>
      <c r="CG19" s="62"/>
      <c r="CH19" s="62"/>
      <c r="CI19" s="62"/>
      <c r="CJ19" s="62"/>
      <c r="CK19" s="62"/>
      <c r="CL19" s="62"/>
      <c r="CM19" s="62"/>
      <c r="CN19" s="62"/>
      <c r="CO19" s="62"/>
      <c r="CP19" s="62"/>
      <c r="CQ19" s="62"/>
      <c r="CR19" s="62"/>
      <c r="CS19" s="62"/>
      <c r="CT19" s="62"/>
      <c r="CU19" s="62"/>
      <c r="CV19" s="62"/>
      <c r="CW19" s="62"/>
      <c r="CX19" s="62"/>
      <c r="CY19" s="62"/>
      <c r="CZ19" s="62"/>
      <c r="DA19" s="62"/>
      <c r="DB19" s="62"/>
      <c r="DC19" s="62"/>
      <c r="DD19" s="62"/>
      <c r="DE19" s="62"/>
      <c r="DF19" s="62"/>
      <c r="DG19" s="62"/>
      <c r="DH19" s="62"/>
      <c r="DI19" s="62"/>
      <c r="DJ19" s="62"/>
    </row>
    <row r="20" spans="7:114">
      <c r="G20" s="21"/>
      <c r="H20" s="21"/>
      <c r="I20" s="21"/>
      <c r="J20" s="21" t="str">
        <f xml:space="preserve"> _xll.EPMOlapMemberO("[KEY_FIGURES].[].[RESIDUALEXPOSTFCSTACTUALSADJ]","","Residuals Ex-Post Fcst - Actuals Qty Adj","","000")</f>
        <v>Residuals Ex-Post Fcst - Actuals Qty Adj</v>
      </c>
      <c r="K20" s="30">
        <v>-11.146678</v>
      </c>
      <c r="L20" s="30">
        <v>20.380106999999999</v>
      </c>
      <c r="M20" s="30">
        <v>18.413098000000002</v>
      </c>
      <c r="N20" s="30">
        <v>-37.223709999999997</v>
      </c>
      <c r="O20" s="30">
        <v>-17.436738999999999</v>
      </c>
      <c r="P20" s="30">
        <v>23.284972</v>
      </c>
      <c r="Q20" s="30">
        <v>-7.9895019999999999</v>
      </c>
      <c r="R20" s="30">
        <v>3.3937360000000001</v>
      </c>
      <c r="S20" s="30">
        <v>-5.34518</v>
      </c>
      <c r="T20" s="30">
        <v>-13.675820999999999</v>
      </c>
      <c r="U20" s="30">
        <v>49.342429000000003</v>
      </c>
      <c r="V20" s="30">
        <v>20.848710000000001</v>
      </c>
      <c r="W20" s="30">
        <v>38.079877000000003</v>
      </c>
      <c r="X20" s="30">
        <v>-5.7547449999999998</v>
      </c>
      <c r="Y20" s="30">
        <v>-25.399813999999999</v>
      </c>
      <c r="Z20" s="30">
        <v>9.2581900000000008</v>
      </c>
      <c r="AA20" s="30">
        <v>32.795385000000003</v>
      </c>
      <c r="AB20" s="30">
        <v>-59.969161999999997</v>
      </c>
      <c r="AC20" s="30">
        <v>-47.108505999999998</v>
      </c>
      <c r="AD20" s="30">
        <v>0.159583</v>
      </c>
      <c r="AE20" s="30">
        <v>-4.5123110000000004</v>
      </c>
      <c r="AF20" s="30">
        <v>3.8870939999999998</v>
      </c>
      <c r="AG20" s="30">
        <v>22.258405</v>
      </c>
      <c r="AH20" s="30">
        <v>-33.225034999999998</v>
      </c>
      <c r="AI20" s="30">
        <v>22.656552000000001</v>
      </c>
      <c r="AJ20" s="30">
        <v>9.648002</v>
      </c>
      <c r="AK20" s="30">
        <v>-0.25137199999999998</v>
      </c>
      <c r="AL20" s="30">
        <v>17.249683999999998</v>
      </c>
      <c r="AM20" s="30">
        <v>-24.336482</v>
      </c>
      <c r="AN20" s="30">
        <v>27.682918999999998</v>
      </c>
      <c r="AO20" s="30">
        <v>9.4927189999999992</v>
      </c>
      <c r="AP20" s="30">
        <v>-74.292997</v>
      </c>
      <c r="AQ20" s="30">
        <v>-9.7770890000000001</v>
      </c>
      <c r="AR20" s="30">
        <v>-4.8216890000000001</v>
      </c>
      <c r="AS20" s="30">
        <v>-19.039019</v>
      </c>
      <c r="AT20" s="30">
        <v>20.305980000000002</v>
      </c>
      <c r="AU20" s="30">
        <v>-9.0330870000000001</v>
      </c>
      <c r="AV20" s="30">
        <v>0.49950499999999998</v>
      </c>
      <c r="AW20" s="30">
        <v>-3.9235340000000001</v>
      </c>
      <c r="AX20" s="30">
        <v>12.993703</v>
      </c>
      <c r="AY20" s="30">
        <v>8.7820850000000004</v>
      </c>
      <c r="AZ20" s="30">
        <v>21.720759000000001</v>
      </c>
      <c r="BA20" s="30">
        <v>5.3808119999999997</v>
      </c>
      <c r="BB20" s="30">
        <v>24.826965000000001</v>
      </c>
      <c r="BC20" s="30">
        <v>4.4168529999999997</v>
      </c>
      <c r="BD20" s="30">
        <v>-3.828068</v>
      </c>
      <c r="BE20" s="30">
        <v>-0.10179100000000001</v>
      </c>
      <c r="BF20" s="30">
        <v>-21.725339999999999</v>
      </c>
      <c r="BG20" s="30">
        <v>-26.650189000000001</v>
      </c>
      <c r="BH20" s="30">
        <v>8.4400910000000007</v>
      </c>
      <c r="BI20" s="30">
        <v>-23.865995999999999</v>
      </c>
      <c r="BJ20" s="30">
        <v>-605</v>
      </c>
      <c r="BK20" s="30">
        <v>-542</v>
      </c>
      <c r="BL20" s="30">
        <v>-603</v>
      </c>
      <c r="BM20" s="30">
        <v>-542</v>
      </c>
      <c r="BN20" s="30">
        <v>-577</v>
      </c>
      <c r="BO20" s="30">
        <v>-599</v>
      </c>
      <c r="BP20" s="30">
        <v>-573</v>
      </c>
      <c r="BQ20" s="30">
        <v>-584</v>
      </c>
      <c r="BR20" s="30">
        <v>-522</v>
      </c>
      <c r="BS20" s="30">
        <v>-542</v>
      </c>
      <c r="BT20" s="30">
        <v>-688</v>
      </c>
      <c r="BU20" s="30"/>
      <c r="BV20" s="30"/>
      <c r="BW20" s="30"/>
      <c r="BX20" s="30"/>
      <c r="BY20" s="30"/>
      <c r="BZ20" s="30"/>
      <c r="CA20" s="30"/>
      <c r="CB20" s="30"/>
      <c r="CC20" s="30"/>
      <c r="CD20" s="30"/>
      <c r="CE20" s="30"/>
      <c r="CF20" s="30"/>
      <c r="CG20" s="30"/>
      <c r="CH20" s="30"/>
      <c r="CI20" s="30"/>
      <c r="CJ20" s="30"/>
      <c r="CK20" s="30"/>
      <c r="CL20" s="30"/>
      <c r="CM20" s="30"/>
      <c r="CN20" s="30"/>
      <c r="CO20" s="30"/>
      <c r="CP20" s="30"/>
      <c r="CQ20" s="30"/>
      <c r="CR20" s="30"/>
      <c r="CS20" s="30"/>
      <c r="CT20" s="30"/>
      <c r="CU20" s="30"/>
      <c r="CV20" s="30"/>
      <c r="CW20" s="30"/>
      <c r="CX20" s="30"/>
      <c r="CY20" s="30"/>
      <c r="CZ20" s="30"/>
      <c r="DA20" s="30"/>
      <c r="DB20" s="30"/>
      <c r="DC20" s="30"/>
      <c r="DD20" s="30"/>
      <c r="DE20" s="30"/>
      <c r="DF20" s="30"/>
      <c r="DG20" s="30"/>
      <c r="DH20" s="30"/>
      <c r="DI20" s="30"/>
      <c r="DJ20" s="30"/>
    </row>
    <row r="21" spans="7:114">
      <c r="G21" s="21"/>
      <c r="H21" s="21"/>
      <c r="I21" s="21"/>
      <c r="J21" s="21" t="str">
        <f xml:space="preserve"> _xll.EPMOlapMemberO("[KEY_FIGURES].[].[STATISTICALFORECASTQTY]","","Statistical Fcst Qty","","000")</f>
        <v>Statistical Fcst Qty</v>
      </c>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v>540.37685499999998</v>
      </c>
      <c r="BK21" s="30">
        <v>419.68374299999999</v>
      </c>
      <c r="BL21" s="30">
        <v>493.84766500000001</v>
      </c>
      <c r="BM21" s="30">
        <v>538.46021800000005</v>
      </c>
      <c r="BN21" s="30">
        <v>628.79253100000005</v>
      </c>
      <c r="BO21" s="30">
        <v>603.620724</v>
      </c>
      <c r="BP21" s="30">
        <v>646.08439499999997</v>
      </c>
      <c r="BQ21" s="30">
        <v>465.14597199999997</v>
      </c>
      <c r="BR21" s="30">
        <v>490.31622700000003</v>
      </c>
      <c r="BS21" s="30">
        <v>501.47193399999998</v>
      </c>
      <c r="BT21" s="30">
        <v>626.41507200000001</v>
      </c>
      <c r="BU21" s="30">
        <v>593.78489500000001</v>
      </c>
      <c r="BV21" s="30">
        <v>676.11666400000001</v>
      </c>
      <c r="BW21" s="30">
        <v>475.88113900000002</v>
      </c>
      <c r="BX21" s="30">
        <v>512.78731500000004</v>
      </c>
      <c r="BY21" s="30">
        <v>570.12143800000001</v>
      </c>
      <c r="BZ21" s="30">
        <v>444.32053400000001</v>
      </c>
      <c r="CA21" s="30">
        <v>562.68138799999997</v>
      </c>
      <c r="CB21" s="30">
        <v>617.46608100000003</v>
      </c>
      <c r="CC21" s="30">
        <v>669.49139200000002</v>
      </c>
      <c r="CD21" s="30">
        <v>522.44815000000006</v>
      </c>
      <c r="CE21" s="30">
        <v>659.27541299999996</v>
      </c>
      <c r="CF21" s="30">
        <v>522.59210900000005</v>
      </c>
      <c r="CG21" s="30">
        <v>464.041944</v>
      </c>
      <c r="CH21" s="30">
        <v>468.206458</v>
      </c>
      <c r="CI21" s="30">
        <v>637.08174899999995</v>
      </c>
      <c r="CJ21" s="30">
        <v>448.753849</v>
      </c>
      <c r="CK21" s="30">
        <v>597.48240099999998</v>
      </c>
      <c r="CL21" s="30">
        <v>455.263869</v>
      </c>
      <c r="CM21" s="30">
        <v>465.924215</v>
      </c>
      <c r="CN21" s="30">
        <v>491.888013</v>
      </c>
      <c r="CO21" s="30">
        <v>464.39088700000002</v>
      </c>
      <c r="CP21" s="30">
        <v>525.64433399999996</v>
      </c>
      <c r="CQ21" s="30">
        <v>640.763915</v>
      </c>
      <c r="CR21" s="30">
        <v>622.20637599999998</v>
      </c>
      <c r="CS21" s="30">
        <v>519.84049500000003</v>
      </c>
      <c r="CT21" s="30">
        <v>485.37170900000001</v>
      </c>
      <c r="CU21" s="30">
        <v>536.83692799999994</v>
      </c>
      <c r="CV21" s="30">
        <v>595.68433300000004</v>
      </c>
      <c r="CW21" s="30">
        <v>728.34179300000005</v>
      </c>
      <c r="CX21" s="30">
        <v>547.91711999999995</v>
      </c>
      <c r="CY21" s="30">
        <v>544.87832600000002</v>
      </c>
      <c r="CZ21" s="30">
        <v>726.83197700000005</v>
      </c>
      <c r="DA21" s="30">
        <v>468.47340000000003</v>
      </c>
      <c r="DB21" s="30">
        <v>604.98722799999996</v>
      </c>
      <c r="DC21" s="30">
        <v>470.42704800000001</v>
      </c>
      <c r="DD21" s="30">
        <v>526.84400200000005</v>
      </c>
      <c r="DE21" s="30">
        <v>612.33389799999998</v>
      </c>
      <c r="DF21" s="30">
        <v>506.05328100000003</v>
      </c>
      <c r="DG21" s="30">
        <v>628.723705</v>
      </c>
      <c r="DH21" s="30">
        <v>537.90057300000001</v>
      </c>
      <c r="DI21" s="30">
        <v>543.53521799999999</v>
      </c>
      <c r="DJ21" s="30"/>
    </row>
    <row r="22" spans="7:114">
      <c r="G22" s="21"/>
      <c r="H22" s="21"/>
      <c r="I22" s="21" t="str">
        <f xml:space="preserve"> _xll.EPMOlapMemberO("[CUSTID].[].[0062100003]","","0062100003","","000")</f>
        <v>0062100003</v>
      </c>
      <c r="J22" s="21" t="str">
        <f xml:space="preserve"> _xll.EPMOlapMemberO("[KEY_FIGURES].[].[STATISTICALEXPOSTFORECASTQTY]","","Ex-Post Fcst Qty","","000")</f>
        <v>Ex-Post Fcst Qty</v>
      </c>
      <c r="K22" s="30">
        <v>892.98579199999995</v>
      </c>
      <c r="L22" s="30">
        <v>890.06023800000003</v>
      </c>
      <c r="M22" s="30">
        <v>934.46855800000003</v>
      </c>
      <c r="N22" s="30">
        <v>918.85776399999997</v>
      </c>
      <c r="O22" s="30">
        <v>872.54351099999997</v>
      </c>
      <c r="P22" s="30">
        <v>830.35297600000001</v>
      </c>
      <c r="Q22" s="30">
        <v>832.49761100000001</v>
      </c>
      <c r="R22" s="30">
        <v>829.863743</v>
      </c>
      <c r="S22" s="30">
        <v>838.73898399999996</v>
      </c>
      <c r="T22" s="30">
        <v>844.53067399999998</v>
      </c>
      <c r="U22" s="30">
        <v>862.96658400000001</v>
      </c>
      <c r="V22" s="30">
        <v>846.32875899999999</v>
      </c>
      <c r="W22" s="30">
        <v>845.38143400000001</v>
      </c>
      <c r="X22" s="30">
        <v>829.71237299999996</v>
      </c>
      <c r="Y22" s="30">
        <v>843.11581699999999</v>
      </c>
      <c r="Z22" s="30">
        <v>836.16557299999999</v>
      </c>
      <c r="AA22" s="30">
        <v>836.820697</v>
      </c>
      <c r="AB22" s="30">
        <v>825.37958600000002</v>
      </c>
      <c r="AC22" s="30">
        <v>827.27113199999997</v>
      </c>
      <c r="AD22" s="30">
        <v>821.81308100000001</v>
      </c>
      <c r="AE22" s="30">
        <v>837.96760400000005</v>
      </c>
      <c r="AF22" s="30">
        <v>868.49205199999994</v>
      </c>
      <c r="AG22" s="30">
        <v>848.46543799999995</v>
      </c>
      <c r="AH22" s="30">
        <v>834.04367100000002</v>
      </c>
      <c r="AI22" s="30">
        <v>858.29016799999999</v>
      </c>
      <c r="AJ22" s="30">
        <v>849.90378299999998</v>
      </c>
      <c r="AK22" s="30">
        <v>864.79640300000005</v>
      </c>
      <c r="AL22" s="30">
        <v>872.00485200000003</v>
      </c>
      <c r="AM22" s="30">
        <v>875.60015799999996</v>
      </c>
      <c r="AN22" s="30">
        <v>879.89827400000001</v>
      </c>
      <c r="AO22" s="30">
        <v>879.23781099999997</v>
      </c>
      <c r="AP22" s="30">
        <v>860.31953299999998</v>
      </c>
      <c r="AQ22" s="30">
        <v>872.08340299999998</v>
      </c>
      <c r="AR22" s="30">
        <v>860.28583900000001</v>
      </c>
      <c r="AS22" s="30">
        <v>857.00071000000003</v>
      </c>
      <c r="AT22" s="30">
        <v>856.91702899999996</v>
      </c>
      <c r="AU22" s="30">
        <v>850.56875600000001</v>
      </c>
      <c r="AV22" s="30">
        <v>852.10999900000002</v>
      </c>
      <c r="AW22" s="30">
        <v>860.46292100000005</v>
      </c>
      <c r="AX22" s="30">
        <v>868.61908900000003</v>
      </c>
      <c r="AY22" s="30">
        <v>863.80091100000004</v>
      </c>
      <c r="AZ22" s="30">
        <v>864.15204400000005</v>
      </c>
      <c r="BA22" s="30">
        <v>850.92718000000002</v>
      </c>
      <c r="BB22" s="30">
        <v>860.63332800000001</v>
      </c>
      <c r="BC22" s="30">
        <v>870.28042800000003</v>
      </c>
      <c r="BD22" s="30">
        <v>879.03720499999997</v>
      </c>
      <c r="BE22" s="30">
        <v>873.180609</v>
      </c>
      <c r="BF22" s="30">
        <v>870.32238600000005</v>
      </c>
      <c r="BG22" s="30">
        <v>867.95403399999998</v>
      </c>
      <c r="BH22" s="30">
        <v>893.04423799999995</v>
      </c>
      <c r="BI22" s="30">
        <v>896.803493</v>
      </c>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c r="DA22" s="30"/>
      <c r="DB22" s="30"/>
      <c r="DC22" s="30"/>
      <c r="DD22" s="30"/>
      <c r="DE22" s="30"/>
      <c r="DF22" s="30"/>
      <c r="DG22" s="30"/>
      <c r="DH22" s="30"/>
      <c r="DI22" s="30"/>
      <c r="DJ22" s="30"/>
    </row>
    <row r="23" spans="7:114">
      <c r="G23" s="42"/>
      <c r="H23" s="42"/>
      <c r="I23" s="42"/>
      <c r="J23" s="42" t="str">
        <f xml:space="preserve"> _xll.EPMOlapMemberO("[KEY_FIGURES].[].[ADJUSTEDACTUALSQTY]","","Actuals Qty Adj.","","000")</f>
        <v>Actuals Qty Adj.</v>
      </c>
      <c r="K23" s="62">
        <v>858</v>
      </c>
      <c r="L23" s="62">
        <v>2142</v>
      </c>
      <c r="M23" s="62">
        <v>309</v>
      </c>
      <c r="N23" s="62">
        <v>365</v>
      </c>
      <c r="O23" s="62">
        <v>368</v>
      </c>
      <c r="P23" s="62">
        <v>856</v>
      </c>
      <c r="Q23" s="62">
        <v>801</v>
      </c>
      <c r="R23" s="62">
        <v>936</v>
      </c>
      <c r="S23" s="62">
        <v>908</v>
      </c>
      <c r="T23" s="62">
        <v>1065</v>
      </c>
      <c r="U23" s="62">
        <v>664</v>
      </c>
      <c r="V23" s="62">
        <v>835</v>
      </c>
      <c r="W23" s="62">
        <v>658</v>
      </c>
      <c r="X23" s="62">
        <v>990</v>
      </c>
      <c r="Y23" s="62">
        <v>760</v>
      </c>
      <c r="Z23" s="62">
        <v>844</v>
      </c>
      <c r="AA23" s="62">
        <v>700</v>
      </c>
      <c r="AB23" s="62">
        <v>848</v>
      </c>
      <c r="AC23" s="62">
        <v>762</v>
      </c>
      <c r="AD23" s="62">
        <v>1015</v>
      </c>
      <c r="AE23" s="62">
        <v>1203</v>
      </c>
      <c r="AF23" s="62">
        <v>629</v>
      </c>
      <c r="AG23" s="62">
        <v>676</v>
      </c>
      <c r="AH23" s="62">
        <v>1124</v>
      </c>
      <c r="AI23" s="62">
        <v>758</v>
      </c>
      <c r="AJ23" s="62">
        <v>1028</v>
      </c>
      <c r="AK23" s="62">
        <v>951</v>
      </c>
      <c r="AL23" s="62">
        <v>915</v>
      </c>
      <c r="AM23" s="62">
        <v>927</v>
      </c>
      <c r="AN23" s="62">
        <v>872</v>
      </c>
      <c r="AO23" s="62">
        <v>653</v>
      </c>
      <c r="AP23" s="62">
        <v>1001</v>
      </c>
      <c r="AQ23" s="62">
        <v>731</v>
      </c>
      <c r="AR23" s="62">
        <v>821</v>
      </c>
      <c r="AS23" s="62">
        <v>856</v>
      </c>
      <c r="AT23" s="62">
        <v>781</v>
      </c>
      <c r="AU23" s="62">
        <v>869</v>
      </c>
      <c r="AV23" s="62">
        <v>952</v>
      </c>
      <c r="AW23" s="62">
        <v>958</v>
      </c>
      <c r="AX23" s="62">
        <v>811</v>
      </c>
      <c r="AY23" s="62">
        <v>868</v>
      </c>
      <c r="AZ23" s="62">
        <v>706</v>
      </c>
      <c r="BA23" s="62">
        <v>967</v>
      </c>
      <c r="BB23" s="62">
        <v>976</v>
      </c>
      <c r="BC23" s="62">
        <v>975</v>
      </c>
      <c r="BD23" s="62">
        <v>809</v>
      </c>
      <c r="BE23" s="62">
        <v>839</v>
      </c>
      <c r="BF23" s="62">
        <v>842</v>
      </c>
      <c r="BG23" s="62">
        <v>1168</v>
      </c>
      <c r="BH23" s="62">
        <v>938</v>
      </c>
      <c r="BI23" s="62">
        <v>928</v>
      </c>
      <c r="BJ23" s="62">
        <v>990</v>
      </c>
      <c r="BK23" s="62">
        <v>848</v>
      </c>
      <c r="BL23" s="62">
        <v>941</v>
      </c>
      <c r="BM23" s="62">
        <v>935</v>
      </c>
      <c r="BN23" s="62">
        <v>1201</v>
      </c>
      <c r="BO23" s="62">
        <v>873</v>
      </c>
      <c r="BP23" s="62">
        <v>829</v>
      </c>
      <c r="BQ23" s="62">
        <v>660</v>
      </c>
      <c r="BR23" s="62">
        <v>941</v>
      </c>
      <c r="BS23" s="62">
        <v>752</v>
      </c>
      <c r="BT23" s="62">
        <v>675</v>
      </c>
      <c r="BU23" s="62"/>
      <c r="BV23" s="62"/>
      <c r="BW23" s="62"/>
      <c r="BX23" s="62"/>
      <c r="BY23" s="62"/>
      <c r="BZ23" s="62"/>
      <c r="CA23" s="62"/>
      <c r="CB23" s="62"/>
      <c r="CC23" s="62"/>
      <c r="CD23" s="62"/>
      <c r="CE23" s="62"/>
      <c r="CF23" s="62"/>
      <c r="CG23" s="62"/>
      <c r="CH23" s="62"/>
      <c r="CI23" s="62"/>
      <c r="CJ23" s="62"/>
      <c r="CK23" s="62"/>
      <c r="CL23" s="62"/>
      <c r="CM23" s="62"/>
      <c r="CN23" s="62"/>
      <c r="CO23" s="62"/>
      <c r="CP23" s="62"/>
      <c r="CQ23" s="62"/>
      <c r="CR23" s="62"/>
      <c r="CS23" s="62"/>
      <c r="CT23" s="62"/>
      <c r="CU23" s="62"/>
      <c r="CV23" s="62"/>
      <c r="CW23" s="62"/>
      <c r="CX23" s="62"/>
      <c r="CY23" s="62"/>
      <c r="CZ23" s="62"/>
      <c r="DA23" s="62"/>
      <c r="DB23" s="62"/>
      <c r="DC23" s="62"/>
      <c r="DD23" s="62"/>
      <c r="DE23" s="62"/>
      <c r="DF23" s="62"/>
      <c r="DG23" s="62"/>
      <c r="DH23" s="62"/>
      <c r="DI23" s="62"/>
      <c r="DJ23" s="62"/>
    </row>
    <row r="24" spans="7:114">
      <c r="G24" s="21"/>
      <c r="H24" s="21"/>
      <c r="I24" s="21"/>
      <c r="J24" s="21" t="str">
        <f xml:space="preserve"> _xll.EPMOlapMemberO("[KEY_FIGURES].[].[RESIDUALEXPOSTFCSTACTUALSADJ]","","Residuals Ex-Post Fcst - Actuals Qty Adj","","000")</f>
        <v>Residuals Ex-Post Fcst - Actuals Qty Adj</v>
      </c>
      <c r="K24" s="30">
        <v>34.985791999999996</v>
      </c>
      <c r="L24" s="30">
        <v>-1251.939762</v>
      </c>
      <c r="M24" s="30">
        <v>625.46855800000003</v>
      </c>
      <c r="N24" s="30">
        <v>553.85776399999997</v>
      </c>
      <c r="O24" s="30">
        <v>504.54351100000002</v>
      </c>
      <c r="P24" s="30">
        <v>-25.647023999999998</v>
      </c>
      <c r="Q24" s="30">
        <v>31.497610999999999</v>
      </c>
      <c r="R24" s="30">
        <v>-106.136257</v>
      </c>
      <c r="S24" s="30">
        <v>-69.261015999999998</v>
      </c>
      <c r="T24" s="30">
        <v>-220.469326</v>
      </c>
      <c r="U24" s="30">
        <v>198.96658400000001</v>
      </c>
      <c r="V24" s="30">
        <v>11.328759</v>
      </c>
      <c r="W24" s="30">
        <v>187.38143400000001</v>
      </c>
      <c r="X24" s="30">
        <v>-160.28762699999999</v>
      </c>
      <c r="Y24" s="30">
        <v>83.115817000000007</v>
      </c>
      <c r="Z24" s="30">
        <v>-7.8344269999999998</v>
      </c>
      <c r="AA24" s="30">
        <v>136.820697</v>
      </c>
      <c r="AB24" s="30">
        <v>-22.620414</v>
      </c>
      <c r="AC24" s="30">
        <v>65.271131999999994</v>
      </c>
      <c r="AD24" s="30">
        <v>-193.18691899999999</v>
      </c>
      <c r="AE24" s="30">
        <v>-365.03239600000001</v>
      </c>
      <c r="AF24" s="30">
        <v>239.492052</v>
      </c>
      <c r="AG24" s="30">
        <v>172.46543800000001</v>
      </c>
      <c r="AH24" s="30">
        <v>-289.95632899999998</v>
      </c>
      <c r="AI24" s="30">
        <v>100.29016799999999</v>
      </c>
      <c r="AJ24" s="30">
        <v>-178.096217</v>
      </c>
      <c r="AK24" s="30">
        <v>-86.203597000000002</v>
      </c>
      <c r="AL24" s="30">
        <v>-42.995148</v>
      </c>
      <c r="AM24" s="30">
        <v>-51.399842</v>
      </c>
      <c r="AN24" s="30">
        <v>7.8982739999999998</v>
      </c>
      <c r="AO24" s="30">
        <v>226.23781099999999</v>
      </c>
      <c r="AP24" s="30">
        <v>-140.68046699999999</v>
      </c>
      <c r="AQ24" s="30">
        <v>141.083403</v>
      </c>
      <c r="AR24" s="30">
        <v>39.285839000000003</v>
      </c>
      <c r="AS24" s="30">
        <v>1.00071</v>
      </c>
      <c r="AT24" s="30">
        <v>75.917028999999999</v>
      </c>
      <c r="AU24" s="30">
        <v>-18.431244</v>
      </c>
      <c r="AV24" s="30">
        <v>-99.890000999999998</v>
      </c>
      <c r="AW24" s="30">
        <v>-97.537079000000006</v>
      </c>
      <c r="AX24" s="30">
        <v>57.619089000000002</v>
      </c>
      <c r="AY24" s="30">
        <v>-4.1990889999999998</v>
      </c>
      <c r="AZ24" s="30">
        <v>158.15204399999999</v>
      </c>
      <c r="BA24" s="30">
        <v>-116.07281999999999</v>
      </c>
      <c r="BB24" s="30">
        <v>-115.36667199999999</v>
      </c>
      <c r="BC24" s="30">
        <v>-104.719572</v>
      </c>
      <c r="BD24" s="30">
        <v>70.037205</v>
      </c>
      <c r="BE24" s="30">
        <v>34.180608999999997</v>
      </c>
      <c r="BF24" s="30">
        <v>28.322386000000002</v>
      </c>
      <c r="BG24" s="30">
        <v>-300.04596600000002</v>
      </c>
      <c r="BH24" s="30">
        <v>-44.955762</v>
      </c>
      <c r="BI24" s="30">
        <v>-31.196507</v>
      </c>
      <c r="BJ24" s="30">
        <v>-990</v>
      </c>
      <c r="BK24" s="30">
        <v>-848</v>
      </c>
      <c r="BL24" s="30">
        <v>-941</v>
      </c>
      <c r="BM24" s="30">
        <v>-935</v>
      </c>
      <c r="BN24" s="30">
        <v>-1201</v>
      </c>
      <c r="BO24" s="30">
        <v>-873</v>
      </c>
      <c r="BP24" s="30">
        <v>-829</v>
      </c>
      <c r="BQ24" s="30">
        <v>-660</v>
      </c>
      <c r="BR24" s="30">
        <v>-941</v>
      </c>
      <c r="BS24" s="30">
        <v>-752</v>
      </c>
      <c r="BT24" s="30">
        <v>-675</v>
      </c>
      <c r="BU24" s="30"/>
      <c r="BV24" s="30"/>
      <c r="BW24" s="30"/>
      <c r="BX24" s="30"/>
      <c r="BY24" s="30"/>
      <c r="BZ24" s="30"/>
      <c r="CA24" s="30"/>
      <c r="CB24" s="30"/>
      <c r="CC24" s="30"/>
      <c r="CD24" s="30"/>
      <c r="CE24" s="30"/>
      <c r="CF24" s="30"/>
      <c r="CG24" s="30"/>
      <c r="CH24" s="30"/>
      <c r="CI24" s="30"/>
      <c r="CJ24" s="30"/>
      <c r="CK24" s="30"/>
      <c r="CL24" s="30"/>
      <c r="CM24" s="30"/>
      <c r="CN24" s="30"/>
      <c r="CO24" s="30"/>
      <c r="CP24" s="30"/>
      <c r="CQ24" s="30"/>
      <c r="CR24" s="30"/>
      <c r="CS24" s="30"/>
      <c r="CT24" s="30"/>
      <c r="CU24" s="30"/>
      <c r="CV24" s="30"/>
      <c r="CW24" s="30"/>
      <c r="CX24" s="30"/>
      <c r="CY24" s="30"/>
      <c r="CZ24" s="30"/>
      <c r="DA24" s="30"/>
      <c r="DB24" s="30"/>
      <c r="DC24" s="30"/>
      <c r="DD24" s="30"/>
      <c r="DE24" s="30"/>
      <c r="DF24" s="30"/>
      <c r="DG24" s="30"/>
      <c r="DH24" s="30"/>
      <c r="DI24" s="30"/>
      <c r="DJ24" s="30"/>
    </row>
    <row r="25" spans="7:114">
      <c r="G25" s="21"/>
      <c r="H25" s="21"/>
      <c r="I25" s="21"/>
      <c r="J25" s="21" t="str">
        <f xml:space="preserve"> _xll.EPMOlapMemberO("[KEY_FIGURES].[].[STATISTICALFORECASTQTY]","","Statistical Fcst Qty","","000")</f>
        <v>Statistical Fcst Qty</v>
      </c>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0"/>
      <c r="BH25" s="30"/>
      <c r="BI25" s="30"/>
      <c r="BJ25" s="30">
        <v>899.41218300000003</v>
      </c>
      <c r="BK25" s="30">
        <v>899.41218300000003</v>
      </c>
      <c r="BL25" s="30">
        <v>899.41218300000003</v>
      </c>
      <c r="BM25" s="30">
        <v>899.41218300000003</v>
      </c>
      <c r="BN25" s="30">
        <v>899.41218300000003</v>
      </c>
      <c r="BO25" s="30">
        <v>899.41218300000003</v>
      </c>
      <c r="BP25" s="30">
        <v>899.41218300000003</v>
      </c>
      <c r="BQ25" s="30">
        <v>899.41218300000003</v>
      </c>
      <c r="BR25" s="30">
        <v>899.41218300000003</v>
      </c>
      <c r="BS25" s="30">
        <v>899.41218300000003</v>
      </c>
      <c r="BT25" s="30">
        <v>899.41218300000003</v>
      </c>
      <c r="BU25" s="30">
        <v>899.41218300000003</v>
      </c>
      <c r="BV25" s="30">
        <v>899.41218300000003</v>
      </c>
      <c r="BW25" s="30">
        <v>899.41218300000003</v>
      </c>
      <c r="BX25" s="30">
        <v>899.41218300000003</v>
      </c>
      <c r="BY25" s="30">
        <v>899.41218300000003</v>
      </c>
      <c r="BZ25" s="30">
        <v>899.41218300000003</v>
      </c>
      <c r="CA25" s="30">
        <v>899.41218300000003</v>
      </c>
      <c r="CB25" s="30">
        <v>899.41218300000003</v>
      </c>
      <c r="CC25" s="30">
        <v>899.41218300000003</v>
      </c>
      <c r="CD25" s="30">
        <v>899.41218300000003</v>
      </c>
      <c r="CE25" s="30">
        <v>899.41218300000003</v>
      </c>
      <c r="CF25" s="30">
        <v>899.41218300000003</v>
      </c>
      <c r="CG25" s="30">
        <v>899.41218300000003</v>
      </c>
      <c r="CH25" s="30">
        <v>899.41218300000003</v>
      </c>
      <c r="CI25" s="30">
        <v>899.41218300000003</v>
      </c>
      <c r="CJ25" s="30">
        <v>899.41218300000003</v>
      </c>
      <c r="CK25" s="30">
        <v>899.41218300000003</v>
      </c>
      <c r="CL25" s="30">
        <v>899.41218300000003</v>
      </c>
      <c r="CM25" s="30">
        <v>899.41218300000003</v>
      </c>
      <c r="CN25" s="30">
        <v>899.41218300000003</v>
      </c>
      <c r="CO25" s="30">
        <v>899.41218300000003</v>
      </c>
      <c r="CP25" s="30">
        <v>899.41218300000003</v>
      </c>
      <c r="CQ25" s="30">
        <v>899.41218300000003</v>
      </c>
      <c r="CR25" s="30">
        <v>899.41218300000003</v>
      </c>
      <c r="CS25" s="30">
        <v>899.41218300000003</v>
      </c>
      <c r="CT25" s="30">
        <v>899.41218300000003</v>
      </c>
      <c r="CU25" s="30">
        <v>899.41218300000003</v>
      </c>
      <c r="CV25" s="30">
        <v>899.41218300000003</v>
      </c>
      <c r="CW25" s="30">
        <v>899.41218300000003</v>
      </c>
      <c r="CX25" s="30">
        <v>899.41218300000003</v>
      </c>
      <c r="CY25" s="30">
        <v>899.41218300000003</v>
      </c>
      <c r="CZ25" s="30">
        <v>899.41218300000003</v>
      </c>
      <c r="DA25" s="30">
        <v>899.41218300000003</v>
      </c>
      <c r="DB25" s="30">
        <v>899.41218300000003</v>
      </c>
      <c r="DC25" s="30">
        <v>899.41218300000003</v>
      </c>
      <c r="DD25" s="30">
        <v>899.41218300000003</v>
      </c>
      <c r="DE25" s="30">
        <v>899.41218300000003</v>
      </c>
      <c r="DF25" s="30">
        <v>899.41218300000003</v>
      </c>
      <c r="DG25" s="30">
        <v>899.41218300000003</v>
      </c>
      <c r="DH25" s="30">
        <v>899.41218300000003</v>
      </c>
      <c r="DI25" s="30">
        <v>899.41218300000003</v>
      </c>
      <c r="DJ25" s="30"/>
    </row>
    <row r="26" spans="7:114">
      <c r="G26" s="21" t="str">
        <f xml:space="preserve"> _xll.EPMOlapMemberO("[PRDID].[].[IBP-100]","","IBP-100","","000")</f>
        <v>IBP-100</v>
      </c>
      <c r="H26" s="21" t="str">
        <f xml:space="preserve"> _xll.EPMOlapMemberO("[LOCID].[].[1720]","","1720","","000")</f>
        <v>1720</v>
      </c>
      <c r="I26" s="21" t="str">
        <f xml:space="preserve"> _xll.EPMOlapMemberO("[CUSTID].[].[0017100001]","","0017100001","","000")</f>
        <v>0017100001</v>
      </c>
      <c r="J26" s="21" t="str">
        <f xml:space="preserve"> _xll.EPMOlapMemberO("[KEY_FIGURES].[].[STATISTICALEXPOSTFORECASTQTY]","","Ex-Post Fcst Qty","","000")</f>
        <v>Ex-Post Fcst Qty</v>
      </c>
      <c r="K26" s="30">
        <v>185.85121799999999</v>
      </c>
      <c r="L26" s="30">
        <v>274.04455000000002</v>
      </c>
      <c r="M26" s="30">
        <v>217.63316699999999</v>
      </c>
      <c r="N26" s="30">
        <v>182.724221</v>
      </c>
      <c r="O26" s="30">
        <v>271.44957399999998</v>
      </c>
      <c r="P26" s="30">
        <v>105.54119799999999</v>
      </c>
      <c r="Q26" s="30">
        <v>98.840959999999995</v>
      </c>
      <c r="R26" s="30">
        <v>162.79636400000001</v>
      </c>
      <c r="S26" s="30">
        <v>182.25405799999999</v>
      </c>
      <c r="T26" s="30">
        <v>146.95953299999999</v>
      </c>
      <c r="U26" s="30">
        <v>247.596023</v>
      </c>
      <c r="V26" s="30">
        <v>153.206906</v>
      </c>
      <c r="W26" s="30">
        <v>235.860569</v>
      </c>
      <c r="X26" s="30">
        <v>153.170491</v>
      </c>
      <c r="Y26" s="30">
        <v>197.39284900000001</v>
      </c>
      <c r="Z26" s="30">
        <v>136.70787799999999</v>
      </c>
      <c r="AA26" s="30">
        <v>276.77432099999999</v>
      </c>
      <c r="AB26" s="30">
        <v>243.028077</v>
      </c>
      <c r="AC26" s="30">
        <v>183.47193999999999</v>
      </c>
      <c r="AD26" s="30">
        <v>185.28716600000001</v>
      </c>
      <c r="AE26" s="30">
        <v>250.95754199999999</v>
      </c>
      <c r="AF26" s="30">
        <v>190.76604</v>
      </c>
      <c r="AG26" s="30">
        <v>164.754625</v>
      </c>
      <c r="AH26" s="30">
        <v>105.383116</v>
      </c>
      <c r="AI26" s="30">
        <v>151.45850799999999</v>
      </c>
      <c r="AJ26" s="30">
        <v>143.34034399999999</v>
      </c>
      <c r="AK26" s="30">
        <v>222.44095200000001</v>
      </c>
      <c r="AL26" s="30">
        <v>192.92744400000001</v>
      </c>
      <c r="AM26" s="30">
        <v>218.44617</v>
      </c>
      <c r="AN26" s="30">
        <v>204.40441999999999</v>
      </c>
      <c r="AO26" s="30">
        <v>247.59749500000001</v>
      </c>
      <c r="AP26" s="30">
        <v>198.23746600000001</v>
      </c>
      <c r="AQ26" s="30">
        <v>228.279832</v>
      </c>
      <c r="AR26" s="30">
        <v>131.12552500000001</v>
      </c>
      <c r="AS26" s="30">
        <v>140.21178800000001</v>
      </c>
      <c r="AT26" s="30">
        <v>201.717533</v>
      </c>
      <c r="AU26" s="30">
        <v>168.252217</v>
      </c>
      <c r="AV26" s="30">
        <v>234.02591699999999</v>
      </c>
      <c r="AW26" s="30">
        <v>175.842714</v>
      </c>
      <c r="AX26" s="30">
        <v>109.345879</v>
      </c>
      <c r="AY26" s="30">
        <v>99.165780999999996</v>
      </c>
      <c r="AZ26" s="30">
        <v>212.25052500000001</v>
      </c>
      <c r="BA26" s="30">
        <v>85.940168999999997</v>
      </c>
      <c r="BB26" s="30">
        <v>176.985938</v>
      </c>
      <c r="BC26" s="30">
        <v>70.790163000000007</v>
      </c>
      <c r="BD26" s="30">
        <v>214.20918800000001</v>
      </c>
      <c r="BE26" s="30">
        <v>277.318309</v>
      </c>
      <c r="BF26" s="30">
        <v>137.74199999999999</v>
      </c>
      <c r="BG26" s="30">
        <v>285.86878100000001</v>
      </c>
      <c r="BH26" s="30">
        <v>165.11353399999999</v>
      </c>
      <c r="BI26" s="30">
        <v>194.84813800000001</v>
      </c>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c r="CV26" s="30"/>
      <c r="CW26" s="30"/>
      <c r="CX26" s="30"/>
      <c r="CY26" s="30"/>
      <c r="CZ26" s="30"/>
      <c r="DA26" s="30"/>
      <c r="DB26" s="30"/>
      <c r="DC26" s="30"/>
      <c r="DD26" s="30"/>
      <c r="DE26" s="30"/>
      <c r="DF26" s="30"/>
      <c r="DG26" s="30"/>
      <c r="DH26" s="30"/>
      <c r="DI26" s="30"/>
      <c r="DJ26" s="30"/>
    </row>
    <row r="27" spans="7:114">
      <c r="G27" s="42"/>
      <c r="H27" s="42"/>
      <c r="I27" s="42"/>
      <c r="J27" s="42" t="str">
        <f xml:space="preserve"> _xll.EPMOlapMemberO("[KEY_FIGURES].[].[ADJUSTEDACTUALSQTY]","","Actuals Qty Adj.","","000")</f>
        <v>Actuals Qty Adj.</v>
      </c>
      <c r="K27" s="62">
        <v>174</v>
      </c>
      <c r="L27" s="62">
        <v>271</v>
      </c>
      <c r="M27" s="62">
        <v>217</v>
      </c>
      <c r="N27" s="62">
        <v>199</v>
      </c>
      <c r="O27" s="62">
        <v>287</v>
      </c>
      <c r="P27" s="62">
        <v>99</v>
      </c>
      <c r="Q27" s="62">
        <v>84</v>
      </c>
      <c r="R27" s="62">
        <v>175</v>
      </c>
      <c r="S27" s="62">
        <v>222</v>
      </c>
      <c r="T27" s="62">
        <v>150</v>
      </c>
      <c r="U27" s="62">
        <v>250</v>
      </c>
      <c r="V27" s="62">
        <v>153</v>
      </c>
      <c r="W27" s="62">
        <v>228</v>
      </c>
      <c r="X27" s="62">
        <v>147</v>
      </c>
      <c r="Y27" s="62">
        <v>208</v>
      </c>
      <c r="Z27" s="62">
        <v>156</v>
      </c>
      <c r="AA27" s="62">
        <v>291</v>
      </c>
      <c r="AB27" s="62">
        <v>246</v>
      </c>
      <c r="AC27" s="62">
        <v>158</v>
      </c>
      <c r="AD27" s="62">
        <v>184</v>
      </c>
      <c r="AE27" s="62">
        <v>255</v>
      </c>
      <c r="AF27" s="62">
        <v>220</v>
      </c>
      <c r="AG27" s="62">
        <v>151</v>
      </c>
      <c r="AH27" s="62">
        <v>122</v>
      </c>
      <c r="AI27" s="62">
        <v>127</v>
      </c>
      <c r="AJ27" s="62">
        <v>124</v>
      </c>
      <c r="AK27" s="62">
        <v>230</v>
      </c>
      <c r="AL27" s="62">
        <v>193</v>
      </c>
      <c r="AM27" s="62">
        <v>221</v>
      </c>
      <c r="AN27" s="62">
        <v>225</v>
      </c>
      <c r="AO27" s="62">
        <v>245</v>
      </c>
      <c r="AP27" s="62">
        <v>219</v>
      </c>
      <c r="AQ27" s="62">
        <v>245</v>
      </c>
      <c r="AR27" s="62">
        <v>110</v>
      </c>
      <c r="AS27" s="62">
        <v>140</v>
      </c>
      <c r="AT27" s="62">
        <v>222</v>
      </c>
      <c r="AU27" s="62">
        <v>159</v>
      </c>
      <c r="AV27" s="62">
        <v>236</v>
      </c>
      <c r="AW27" s="62">
        <v>166</v>
      </c>
      <c r="AX27" s="62">
        <v>97</v>
      </c>
      <c r="AY27" s="62">
        <v>105</v>
      </c>
      <c r="AZ27" s="62">
        <v>225</v>
      </c>
      <c r="BA27" s="62">
        <v>88</v>
      </c>
      <c r="BB27" s="62">
        <v>166</v>
      </c>
      <c r="BC27" s="62">
        <v>70</v>
      </c>
      <c r="BD27" s="62">
        <v>199</v>
      </c>
      <c r="BE27" s="62">
        <v>290</v>
      </c>
      <c r="BF27" s="62">
        <v>134</v>
      </c>
      <c r="BG27" s="62">
        <v>283</v>
      </c>
      <c r="BH27" s="62">
        <v>160</v>
      </c>
      <c r="BI27" s="62">
        <v>196</v>
      </c>
      <c r="BJ27" s="62">
        <v>132</v>
      </c>
      <c r="BK27" s="62">
        <v>298</v>
      </c>
      <c r="BL27" s="62">
        <v>153</v>
      </c>
      <c r="BM27" s="62">
        <v>175</v>
      </c>
      <c r="BN27" s="62">
        <v>175</v>
      </c>
      <c r="BO27" s="62">
        <v>182</v>
      </c>
      <c r="BP27" s="62">
        <v>189</v>
      </c>
      <c r="BQ27" s="62">
        <v>141</v>
      </c>
      <c r="BR27" s="62">
        <v>151</v>
      </c>
      <c r="BS27" s="62">
        <v>112</v>
      </c>
      <c r="BT27" s="62"/>
      <c r="BU27" s="62"/>
      <c r="BV27" s="62"/>
      <c r="BW27" s="62"/>
      <c r="BX27" s="62"/>
      <c r="BY27" s="62"/>
      <c r="BZ27" s="62"/>
      <c r="CA27" s="62"/>
      <c r="CB27" s="62"/>
      <c r="CC27" s="62"/>
      <c r="CD27" s="62"/>
      <c r="CE27" s="62"/>
      <c r="CF27" s="62"/>
      <c r="CG27" s="62"/>
      <c r="CH27" s="62"/>
      <c r="CI27" s="62"/>
      <c r="CJ27" s="62"/>
      <c r="CK27" s="62"/>
      <c r="CL27" s="62"/>
      <c r="CM27" s="62"/>
      <c r="CN27" s="62"/>
      <c r="CO27" s="62"/>
      <c r="CP27" s="62"/>
      <c r="CQ27" s="62"/>
      <c r="CR27" s="62"/>
      <c r="CS27" s="62"/>
      <c r="CT27" s="62"/>
      <c r="CU27" s="62"/>
      <c r="CV27" s="62"/>
      <c r="CW27" s="62"/>
      <c r="CX27" s="62"/>
      <c r="CY27" s="62"/>
      <c r="CZ27" s="62"/>
      <c r="DA27" s="62"/>
      <c r="DB27" s="62"/>
      <c r="DC27" s="62"/>
      <c r="DD27" s="62"/>
      <c r="DE27" s="62"/>
      <c r="DF27" s="62"/>
      <c r="DG27" s="62"/>
      <c r="DH27" s="62"/>
      <c r="DI27" s="62"/>
      <c r="DJ27" s="62"/>
    </row>
    <row r="28" spans="7:114">
      <c r="G28" s="21"/>
      <c r="H28" s="21"/>
      <c r="I28" s="21"/>
      <c r="J28" s="21" t="str">
        <f xml:space="preserve"> _xll.EPMOlapMemberO("[KEY_FIGURES].[].[RESIDUALEXPOSTFCSTACTUALSADJ]","","Residuals Ex-Post Fcst - Actuals Qty Adj","","000")</f>
        <v>Residuals Ex-Post Fcst - Actuals Qty Adj</v>
      </c>
      <c r="K28" s="30">
        <v>11.851217999999999</v>
      </c>
      <c r="L28" s="30">
        <v>3.0445500000000001</v>
      </c>
      <c r="M28" s="30">
        <v>0.63316700000000004</v>
      </c>
      <c r="N28" s="30">
        <v>-16.275779</v>
      </c>
      <c r="O28" s="30">
        <v>-15.550426</v>
      </c>
      <c r="P28" s="30">
        <v>6.5411979999999996</v>
      </c>
      <c r="Q28" s="30">
        <v>14.840960000000001</v>
      </c>
      <c r="R28" s="30">
        <v>-12.203635999999999</v>
      </c>
      <c r="S28" s="30">
        <v>-39.745941999999999</v>
      </c>
      <c r="T28" s="30">
        <v>-3.040467</v>
      </c>
      <c r="U28" s="30">
        <v>-2.4039769999999998</v>
      </c>
      <c r="V28" s="30">
        <v>0.20690600000000001</v>
      </c>
      <c r="W28" s="30">
        <v>7.8605689999999999</v>
      </c>
      <c r="X28" s="30">
        <v>6.1704910000000002</v>
      </c>
      <c r="Y28" s="30">
        <v>-10.607151</v>
      </c>
      <c r="Z28" s="30">
        <v>-19.292121999999999</v>
      </c>
      <c r="AA28" s="30">
        <v>-14.225679</v>
      </c>
      <c r="AB28" s="30">
        <v>-2.9719229999999999</v>
      </c>
      <c r="AC28" s="30">
        <v>25.47194</v>
      </c>
      <c r="AD28" s="30">
        <v>1.287166</v>
      </c>
      <c r="AE28" s="30">
        <v>-4.0424579999999999</v>
      </c>
      <c r="AF28" s="30">
        <v>-29.23396</v>
      </c>
      <c r="AG28" s="30">
        <v>13.754625000000001</v>
      </c>
      <c r="AH28" s="30">
        <v>-16.616883999999999</v>
      </c>
      <c r="AI28" s="30">
        <v>24.458507999999998</v>
      </c>
      <c r="AJ28" s="30">
        <v>19.340344000000002</v>
      </c>
      <c r="AK28" s="30">
        <v>-7.5590479999999998</v>
      </c>
      <c r="AL28" s="30">
        <v>-7.2555999999999995E-2</v>
      </c>
      <c r="AM28" s="30">
        <v>-2.55383</v>
      </c>
      <c r="AN28" s="30">
        <v>-20.595580000000002</v>
      </c>
      <c r="AO28" s="30">
        <v>2.5974949999999999</v>
      </c>
      <c r="AP28" s="30">
        <v>-20.762533999999999</v>
      </c>
      <c r="AQ28" s="30">
        <v>-16.720168000000001</v>
      </c>
      <c r="AR28" s="30">
        <v>21.125525</v>
      </c>
      <c r="AS28" s="30">
        <v>0.211788</v>
      </c>
      <c r="AT28" s="30">
        <v>-20.282467</v>
      </c>
      <c r="AU28" s="30">
        <v>9.2522169999999999</v>
      </c>
      <c r="AV28" s="30">
        <v>-1.974083</v>
      </c>
      <c r="AW28" s="30">
        <v>9.8427140000000009</v>
      </c>
      <c r="AX28" s="30">
        <v>12.345879</v>
      </c>
      <c r="AY28" s="30">
        <v>-5.834219</v>
      </c>
      <c r="AZ28" s="30">
        <v>-12.749475</v>
      </c>
      <c r="BA28" s="30">
        <v>-2.059831</v>
      </c>
      <c r="BB28" s="30">
        <v>10.985938000000001</v>
      </c>
      <c r="BC28" s="30">
        <v>0.79016299999999995</v>
      </c>
      <c r="BD28" s="30">
        <v>15.209187999999999</v>
      </c>
      <c r="BE28" s="30">
        <v>-12.681691000000001</v>
      </c>
      <c r="BF28" s="30">
        <v>3.742</v>
      </c>
      <c r="BG28" s="30">
        <v>2.8687809999999998</v>
      </c>
      <c r="BH28" s="30">
        <v>5.1135339999999996</v>
      </c>
      <c r="BI28" s="30">
        <v>-1.1518619999999999</v>
      </c>
      <c r="BJ28" s="30">
        <v>-132</v>
      </c>
      <c r="BK28" s="30">
        <v>-298</v>
      </c>
      <c r="BL28" s="30">
        <v>-153</v>
      </c>
      <c r="BM28" s="30">
        <v>-175</v>
      </c>
      <c r="BN28" s="30">
        <v>-175</v>
      </c>
      <c r="BO28" s="30">
        <v>-182</v>
      </c>
      <c r="BP28" s="30">
        <v>-189</v>
      </c>
      <c r="BQ28" s="30">
        <v>-141</v>
      </c>
      <c r="BR28" s="30">
        <v>-151</v>
      </c>
      <c r="BS28" s="30">
        <v>-112</v>
      </c>
      <c r="BT28" s="30"/>
      <c r="BU28" s="30"/>
      <c r="BV28" s="30"/>
      <c r="BW28" s="30"/>
      <c r="BX28" s="30"/>
      <c r="BY28" s="30"/>
      <c r="BZ28" s="30"/>
      <c r="CA28" s="30"/>
      <c r="CB28" s="30"/>
      <c r="CC28" s="30"/>
      <c r="CD28" s="30"/>
      <c r="CE28" s="30"/>
      <c r="CF28" s="30"/>
      <c r="CG28" s="30"/>
      <c r="CH28" s="30"/>
      <c r="CI28" s="30"/>
      <c r="CJ28" s="30"/>
      <c r="CK28" s="30"/>
      <c r="CL28" s="30"/>
      <c r="CM28" s="30"/>
      <c r="CN28" s="30"/>
      <c r="CO28" s="30"/>
      <c r="CP28" s="30"/>
      <c r="CQ28" s="30"/>
      <c r="CR28" s="30"/>
      <c r="CS28" s="30"/>
      <c r="CT28" s="30"/>
      <c r="CU28" s="30"/>
      <c r="CV28" s="30"/>
      <c r="CW28" s="30"/>
      <c r="CX28" s="30"/>
      <c r="CY28" s="30"/>
      <c r="CZ28" s="30"/>
      <c r="DA28" s="30"/>
      <c r="DB28" s="30"/>
      <c r="DC28" s="30"/>
      <c r="DD28" s="30"/>
      <c r="DE28" s="30"/>
      <c r="DF28" s="30"/>
      <c r="DG28" s="30"/>
      <c r="DH28" s="30"/>
      <c r="DI28" s="30"/>
      <c r="DJ28" s="30"/>
    </row>
    <row r="29" spans="7:114">
      <c r="G29" s="21"/>
      <c r="H29" s="21"/>
      <c r="I29" s="21"/>
      <c r="J29" s="21" t="str">
        <f xml:space="preserve"> _xll.EPMOlapMemberO("[KEY_FIGURES].[].[STATISTICALFORECASTQTY]","","Statistical Fcst Qty","","000")</f>
        <v>Statistical Fcst Qty</v>
      </c>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0"/>
      <c r="BH29" s="30"/>
      <c r="BI29" s="30"/>
      <c r="BJ29" s="30">
        <v>282.95410399999997</v>
      </c>
      <c r="BK29" s="30">
        <v>271.61362700000001</v>
      </c>
      <c r="BL29" s="30">
        <v>262.37471199999999</v>
      </c>
      <c r="BM29" s="30">
        <v>261.51277599999997</v>
      </c>
      <c r="BN29" s="30">
        <v>284.33732800000001</v>
      </c>
      <c r="BO29" s="30">
        <v>282.75630799999999</v>
      </c>
      <c r="BP29" s="30">
        <v>269.99414300000001</v>
      </c>
      <c r="BQ29" s="30">
        <v>291.923292</v>
      </c>
      <c r="BR29" s="30">
        <v>293.33967100000001</v>
      </c>
      <c r="BS29" s="30">
        <v>318.20882799999998</v>
      </c>
      <c r="BT29" s="30">
        <v>282.05005999999997</v>
      </c>
      <c r="BU29" s="30">
        <v>373.87275399999999</v>
      </c>
      <c r="BV29" s="30">
        <v>372.76797599999998</v>
      </c>
      <c r="BW29" s="30">
        <v>351.478048</v>
      </c>
      <c r="BX29" s="30">
        <v>412.38183400000003</v>
      </c>
      <c r="BY29" s="30">
        <v>406.85186800000002</v>
      </c>
      <c r="BZ29" s="30">
        <v>388.45441</v>
      </c>
      <c r="CA29" s="30">
        <v>425.77007099999997</v>
      </c>
      <c r="CB29" s="30">
        <v>468.67585000000003</v>
      </c>
      <c r="CC29" s="30">
        <v>479.28846499999997</v>
      </c>
      <c r="CD29" s="30">
        <v>471.93220200000002</v>
      </c>
      <c r="CE29" s="30">
        <v>431.840575</v>
      </c>
      <c r="CF29" s="30">
        <v>472.42082499999998</v>
      </c>
      <c r="CG29" s="30">
        <v>499.74659000000003</v>
      </c>
      <c r="CH29" s="30">
        <v>445.783681</v>
      </c>
      <c r="CI29" s="30">
        <v>488.639994</v>
      </c>
      <c r="CJ29" s="30">
        <v>482.63888100000003</v>
      </c>
      <c r="CK29" s="30">
        <v>482.462042</v>
      </c>
      <c r="CL29" s="30">
        <v>521.70439399999998</v>
      </c>
      <c r="CM29" s="30">
        <v>599.99290699999995</v>
      </c>
      <c r="CN29" s="30">
        <v>544.52177800000004</v>
      </c>
      <c r="CO29" s="30">
        <v>613.338076</v>
      </c>
      <c r="CP29" s="30">
        <v>570.23660800000005</v>
      </c>
      <c r="CQ29" s="30">
        <v>590.35664399999996</v>
      </c>
      <c r="CR29" s="30">
        <v>603.56971199999998</v>
      </c>
      <c r="CS29" s="30">
        <v>548.30402100000003</v>
      </c>
      <c r="CT29" s="30">
        <v>584.36907399999996</v>
      </c>
      <c r="CU29" s="30">
        <v>588.82860700000003</v>
      </c>
      <c r="CV29" s="30">
        <v>611.46822899999995</v>
      </c>
      <c r="CW29" s="30">
        <v>591.46788300000003</v>
      </c>
      <c r="CX29" s="30">
        <v>607.471047</v>
      </c>
      <c r="CY29" s="30">
        <v>610.06530299999997</v>
      </c>
      <c r="CZ29" s="30">
        <v>667.69123400000001</v>
      </c>
      <c r="DA29" s="30">
        <v>655.06750199999999</v>
      </c>
      <c r="DB29" s="30">
        <v>654.85417299999995</v>
      </c>
      <c r="DC29" s="30">
        <v>658.20003399999996</v>
      </c>
      <c r="DD29" s="30">
        <v>742.69271800000001</v>
      </c>
      <c r="DE29" s="30">
        <v>628.98036999999999</v>
      </c>
      <c r="DF29" s="30">
        <v>727.20968100000005</v>
      </c>
      <c r="DG29" s="30">
        <v>619.92379400000004</v>
      </c>
      <c r="DH29" s="30">
        <v>653.66329900000005</v>
      </c>
      <c r="DI29" s="30">
        <v>682.16546800000003</v>
      </c>
      <c r="DJ29" s="30"/>
    </row>
    <row r="30" spans="7:114">
      <c r="G30" s="21"/>
      <c r="H30" s="21" t="str">
        <f xml:space="preserve"> _xll.EPMOlapMemberO("[LOCID].[].[3710]","","3710","","000")</f>
        <v>3710</v>
      </c>
      <c r="I30" s="21" t="str">
        <f xml:space="preserve"> _xll.EPMOlapMemberO("[CUSTID].[].[0010100001]","","0010100001","","000")</f>
        <v>0010100001</v>
      </c>
      <c r="J30" s="21" t="str">
        <f xml:space="preserve"> _xll.EPMOlapMemberO("[KEY_FIGURES].[].[STATISTICALEXPOSTFORECASTQTY]","","Ex-Post Fcst Qty","","000")</f>
        <v>Ex-Post Fcst Qty</v>
      </c>
      <c r="K30" s="30">
        <v>230.96059700000001</v>
      </c>
      <c r="L30" s="30">
        <v>234.61256700000001</v>
      </c>
      <c r="M30" s="30">
        <v>234.33193900000001</v>
      </c>
      <c r="N30" s="30">
        <v>234.56534199999999</v>
      </c>
      <c r="O30" s="30">
        <v>232.93707499999999</v>
      </c>
      <c r="P30" s="30">
        <v>235.69022100000001</v>
      </c>
      <c r="Q30" s="30">
        <v>237.40571</v>
      </c>
      <c r="R30" s="30">
        <v>241.53542400000001</v>
      </c>
      <c r="S30" s="30">
        <v>240.00865300000001</v>
      </c>
      <c r="T30" s="30">
        <v>238.908221</v>
      </c>
      <c r="U30" s="30">
        <v>234.41280900000001</v>
      </c>
      <c r="V30" s="30">
        <v>233.34216900000001</v>
      </c>
      <c r="W30" s="30">
        <v>236.02506</v>
      </c>
      <c r="X30" s="30">
        <v>234.77380700000001</v>
      </c>
      <c r="Y30" s="30">
        <v>238.13511700000001</v>
      </c>
      <c r="Z30" s="30">
        <v>231.078361</v>
      </c>
      <c r="AA30" s="30">
        <v>230.27444299999999</v>
      </c>
      <c r="AB30" s="30">
        <v>223.71072100000001</v>
      </c>
      <c r="AC30" s="30">
        <v>225.47518500000001</v>
      </c>
      <c r="AD30" s="30">
        <v>222.00142600000001</v>
      </c>
      <c r="AE30" s="30">
        <v>217.45135400000001</v>
      </c>
      <c r="AF30" s="30">
        <v>211.82878700000001</v>
      </c>
      <c r="AG30" s="30">
        <v>211.33734699999999</v>
      </c>
      <c r="AH30" s="30">
        <v>215.97048000000001</v>
      </c>
      <c r="AI30" s="30">
        <v>212.67195599999999</v>
      </c>
      <c r="AJ30" s="30">
        <v>215.93835799999999</v>
      </c>
      <c r="AK30" s="30">
        <v>221.94144</v>
      </c>
      <c r="AL30" s="30">
        <v>221.594368</v>
      </c>
      <c r="AM30" s="30">
        <v>221.46465000000001</v>
      </c>
      <c r="AN30" s="30">
        <v>218.441417</v>
      </c>
      <c r="AO30" s="30">
        <v>219.819346</v>
      </c>
      <c r="AP30" s="30">
        <v>223.778379</v>
      </c>
      <c r="AQ30" s="30">
        <v>229.98946000000001</v>
      </c>
      <c r="AR30" s="30">
        <v>228.539987</v>
      </c>
      <c r="AS30" s="30">
        <v>227.66298800000001</v>
      </c>
      <c r="AT30" s="30">
        <v>221.579838</v>
      </c>
      <c r="AU30" s="30">
        <v>220.85084599999999</v>
      </c>
      <c r="AV30" s="30">
        <v>224.00830400000001</v>
      </c>
      <c r="AW30" s="30">
        <v>225.65788900000001</v>
      </c>
      <c r="AX30" s="30">
        <v>222.174994</v>
      </c>
      <c r="AY30" s="30">
        <v>214.61624399999999</v>
      </c>
      <c r="AZ30" s="30">
        <v>215.18543199999999</v>
      </c>
      <c r="BA30" s="30">
        <v>217.026161</v>
      </c>
      <c r="BB30" s="30">
        <v>219.57485299999999</v>
      </c>
      <c r="BC30" s="30">
        <v>221.54611</v>
      </c>
      <c r="BD30" s="30">
        <v>220.96880400000001</v>
      </c>
      <c r="BE30" s="30">
        <v>220.22036399999999</v>
      </c>
      <c r="BF30" s="30">
        <v>216.10934599999999</v>
      </c>
      <c r="BG30" s="30">
        <v>218.10387900000001</v>
      </c>
      <c r="BH30" s="30">
        <v>219.34868499999999</v>
      </c>
      <c r="BI30" s="30">
        <v>221.78125</v>
      </c>
      <c r="BJ30" s="30"/>
      <c r="BK30" s="30"/>
      <c r="BL30" s="30"/>
      <c r="BM30" s="30"/>
      <c r="BN30" s="30"/>
      <c r="BO30" s="30"/>
      <c r="BP30" s="30"/>
      <c r="BQ30" s="30"/>
      <c r="BR30" s="30"/>
      <c r="BS30" s="30"/>
      <c r="BT30" s="30"/>
      <c r="BU30" s="30"/>
      <c r="BV30" s="30"/>
      <c r="BW30" s="30"/>
      <c r="BX30" s="30"/>
      <c r="BY30" s="30"/>
      <c r="BZ30" s="30"/>
      <c r="CA30" s="30"/>
      <c r="CB30" s="30"/>
      <c r="CC30" s="30"/>
      <c r="CD30" s="30"/>
      <c r="CE30" s="30"/>
      <c r="CF30" s="30"/>
      <c r="CG30" s="30"/>
      <c r="CH30" s="30"/>
      <c r="CI30" s="30"/>
      <c r="CJ30" s="30"/>
      <c r="CK30" s="30"/>
      <c r="CL30" s="30"/>
      <c r="CM30" s="30"/>
      <c r="CN30" s="30"/>
      <c r="CO30" s="30"/>
      <c r="CP30" s="30"/>
      <c r="CQ30" s="30"/>
      <c r="CR30" s="30"/>
      <c r="CS30" s="30"/>
      <c r="CT30" s="30"/>
      <c r="CU30" s="30"/>
      <c r="CV30" s="30"/>
      <c r="CW30" s="30"/>
      <c r="CX30" s="30"/>
      <c r="CY30" s="30"/>
      <c r="CZ30" s="30"/>
      <c r="DA30" s="30"/>
      <c r="DB30" s="30"/>
      <c r="DC30" s="30"/>
      <c r="DD30" s="30"/>
      <c r="DE30" s="30"/>
      <c r="DF30" s="30"/>
      <c r="DG30" s="30"/>
      <c r="DH30" s="30"/>
      <c r="DI30" s="30"/>
      <c r="DJ30" s="30"/>
    </row>
    <row r="31" spans="7:114">
      <c r="G31" s="42"/>
      <c r="H31" s="42"/>
      <c r="I31" s="42"/>
      <c r="J31" s="42" t="str">
        <f xml:space="preserve"> _xll.EPMOlapMemberO("[KEY_FIGURES].[].[ADJUSTEDACTUALSQTY]","","Actuals Qty Adj.","","000")</f>
        <v>Actuals Qty Adj.</v>
      </c>
      <c r="K31" s="62">
        <v>304</v>
      </c>
      <c r="L31" s="62">
        <v>229</v>
      </c>
      <c r="M31" s="62">
        <v>239</v>
      </c>
      <c r="N31" s="62">
        <v>202</v>
      </c>
      <c r="O31" s="62">
        <v>288</v>
      </c>
      <c r="P31" s="62">
        <v>270</v>
      </c>
      <c r="Q31" s="62">
        <v>320</v>
      </c>
      <c r="R31" s="62">
        <v>211</v>
      </c>
      <c r="S31" s="62">
        <v>218</v>
      </c>
      <c r="T31" s="62">
        <v>149</v>
      </c>
      <c r="U31" s="62">
        <v>213</v>
      </c>
      <c r="V31" s="62">
        <v>287</v>
      </c>
      <c r="W31" s="62">
        <v>211</v>
      </c>
      <c r="X31" s="62">
        <v>302</v>
      </c>
      <c r="Y31" s="62">
        <v>97</v>
      </c>
      <c r="Z31" s="62">
        <v>215</v>
      </c>
      <c r="AA31" s="62">
        <v>99</v>
      </c>
      <c r="AB31" s="62">
        <v>259</v>
      </c>
      <c r="AC31" s="62">
        <v>156</v>
      </c>
      <c r="AD31" s="62">
        <v>131</v>
      </c>
      <c r="AE31" s="62">
        <v>105</v>
      </c>
      <c r="AF31" s="62">
        <v>202</v>
      </c>
      <c r="AG31" s="62">
        <v>304</v>
      </c>
      <c r="AH31" s="62">
        <v>150</v>
      </c>
      <c r="AI31" s="62">
        <v>278</v>
      </c>
      <c r="AJ31" s="62">
        <v>336</v>
      </c>
      <c r="AK31" s="62">
        <v>215</v>
      </c>
      <c r="AL31" s="62">
        <v>219</v>
      </c>
      <c r="AM31" s="62">
        <v>161</v>
      </c>
      <c r="AN31" s="62">
        <v>246</v>
      </c>
      <c r="AO31" s="62">
        <v>299</v>
      </c>
      <c r="AP31" s="62">
        <v>348</v>
      </c>
      <c r="AQ31" s="62">
        <v>201</v>
      </c>
      <c r="AR31" s="62">
        <v>211</v>
      </c>
      <c r="AS31" s="62">
        <v>106</v>
      </c>
      <c r="AT31" s="62">
        <v>207</v>
      </c>
      <c r="AU31" s="62">
        <v>284</v>
      </c>
      <c r="AV31" s="62">
        <v>257</v>
      </c>
      <c r="AW31" s="62">
        <v>156</v>
      </c>
      <c r="AX31" s="62">
        <v>71</v>
      </c>
      <c r="AY31" s="62">
        <v>226</v>
      </c>
      <c r="AZ31" s="62">
        <v>252</v>
      </c>
      <c r="BA31" s="62">
        <v>268</v>
      </c>
      <c r="BB31" s="62">
        <v>259</v>
      </c>
      <c r="BC31" s="62">
        <v>210</v>
      </c>
      <c r="BD31" s="62">
        <v>206</v>
      </c>
      <c r="BE31" s="62">
        <v>138</v>
      </c>
      <c r="BF31" s="62">
        <v>256</v>
      </c>
      <c r="BG31" s="62">
        <v>243</v>
      </c>
      <c r="BH31" s="62">
        <v>268</v>
      </c>
      <c r="BI31" s="62">
        <v>254</v>
      </c>
      <c r="BJ31" s="62">
        <v>292</v>
      </c>
      <c r="BK31" s="62">
        <v>247</v>
      </c>
      <c r="BL31" s="62">
        <v>135</v>
      </c>
      <c r="BM31" s="62">
        <v>118</v>
      </c>
      <c r="BN31" s="62">
        <v>161</v>
      </c>
      <c r="BO31" s="62">
        <v>140</v>
      </c>
      <c r="BP31" s="62">
        <v>426</v>
      </c>
      <c r="BQ31" s="62">
        <v>177</v>
      </c>
      <c r="BR31" s="62">
        <v>132</v>
      </c>
      <c r="BS31" s="62">
        <v>111</v>
      </c>
      <c r="BT31" s="62"/>
      <c r="BU31" s="62"/>
      <c r="BV31" s="62"/>
      <c r="BW31" s="62"/>
      <c r="BX31" s="62"/>
      <c r="BY31" s="62"/>
      <c r="BZ31" s="62"/>
      <c r="CA31" s="62"/>
      <c r="CB31" s="62"/>
      <c r="CC31" s="62"/>
      <c r="CD31" s="62"/>
      <c r="CE31" s="62"/>
      <c r="CF31" s="62"/>
      <c r="CG31" s="62"/>
      <c r="CH31" s="62"/>
      <c r="CI31" s="62"/>
      <c r="CJ31" s="62"/>
      <c r="CK31" s="62"/>
      <c r="CL31" s="62"/>
      <c r="CM31" s="62"/>
      <c r="CN31" s="62"/>
      <c r="CO31" s="62"/>
      <c r="CP31" s="62"/>
      <c r="CQ31" s="62"/>
      <c r="CR31" s="62"/>
      <c r="CS31" s="62"/>
      <c r="CT31" s="62"/>
      <c r="CU31" s="62"/>
      <c r="CV31" s="62"/>
      <c r="CW31" s="62"/>
      <c r="CX31" s="62"/>
      <c r="CY31" s="62"/>
      <c r="CZ31" s="62"/>
      <c r="DA31" s="62"/>
      <c r="DB31" s="62"/>
      <c r="DC31" s="62"/>
      <c r="DD31" s="62"/>
      <c r="DE31" s="62"/>
      <c r="DF31" s="62"/>
      <c r="DG31" s="62"/>
      <c r="DH31" s="62"/>
      <c r="DI31" s="62"/>
      <c r="DJ31" s="62"/>
    </row>
    <row r="32" spans="7:114">
      <c r="G32" s="21"/>
      <c r="H32" s="21"/>
      <c r="I32" s="21"/>
      <c r="J32" s="21" t="str">
        <f xml:space="preserve"> _xll.EPMOlapMemberO("[KEY_FIGURES].[].[RESIDUALEXPOSTFCSTACTUALSADJ]","","Residuals Ex-Post Fcst - Actuals Qty Adj","","000")</f>
        <v>Residuals Ex-Post Fcst - Actuals Qty Adj</v>
      </c>
      <c r="K32" s="30">
        <v>-73.039402999999993</v>
      </c>
      <c r="L32" s="30">
        <v>5.6125670000000003</v>
      </c>
      <c r="M32" s="30">
        <v>-4.6680609999999998</v>
      </c>
      <c r="N32" s="30">
        <v>32.565342000000001</v>
      </c>
      <c r="O32" s="30">
        <v>-55.062925</v>
      </c>
      <c r="P32" s="30">
        <v>-34.309778999999999</v>
      </c>
      <c r="Q32" s="30">
        <v>-82.594290000000001</v>
      </c>
      <c r="R32" s="30">
        <v>30.535423999999999</v>
      </c>
      <c r="S32" s="30">
        <v>22.008652999999999</v>
      </c>
      <c r="T32" s="30">
        <v>89.908220999999998</v>
      </c>
      <c r="U32" s="30">
        <v>21.412808999999999</v>
      </c>
      <c r="V32" s="30">
        <v>-53.657831000000002</v>
      </c>
      <c r="W32" s="30">
        <v>25.02506</v>
      </c>
      <c r="X32" s="30">
        <v>-67.226192999999995</v>
      </c>
      <c r="Y32" s="30">
        <v>141.13511700000001</v>
      </c>
      <c r="Z32" s="30">
        <v>16.078361000000001</v>
      </c>
      <c r="AA32" s="30">
        <v>131.27444299999999</v>
      </c>
      <c r="AB32" s="30">
        <v>-35.289279000000001</v>
      </c>
      <c r="AC32" s="30">
        <v>69.475184999999996</v>
      </c>
      <c r="AD32" s="30">
        <v>91.001425999999995</v>
      </c>
      <c r="AE32" s="30">
        <v>112.45135399999999</v>
      </c>
      <c r="AF32" s="30">
        <v>9.8287870000000002</v>
      </c>
      <c r="AG32" s="30">
        <v>-92.662653000000006</v>
      </c>
      <c r="AH32" s="30">
        <v>65.970479999999995</v>
      </c>
      <c r="AI32" s="30">
        <v>-65.328044000000006</v>
      </c>
      <c r="AJ32" s="30">
        <v>-120.06164200000001</v>
      </c>
      <c r="AK32" s="30">
        <v>6.9414400000000001</v>
      </c>
      <c r="AL32" s="30">
        <v>2.5943679999999998</v>
      </c>
      <c r="AM32" s="30">
        <v>60.464649999999999</v>
      </c>
      <c r="AN32" s="30">
        <v>-27.558582999999999</v>
      </c>
      <c r="AO32" s="30">
        <v>-79.180654000000004</v>
      </c>
      <c r="AP32" s="30">
        <v>-124.221621</v>
      </c>
      <c r="AQ32" s="30">
        <v>28.989460000000001</v>
      </c>
      <c r="AR32" s="30">
        <v>17.539987</v>
      </c>
      <c r="AS32" s="30">
        <v>121.662988</v>
      </c>
      <c r="AT32" s="30">
        <v>14.579838000000001</v>
      </c>
      <c r="AU32" s="30">
        <v>-63.149154000000003</v>
      </c>
      <c r="AV32" s="30">
        <v>-32.991695999999997</v>
      </c>
      <c r="AW32" s="30">
        <v>69.657888999999997</v>
      </c>
      <c r="AX32" s="30">
        <v>151.174994</v>
      </c>
      <c r="AY32" s="30">
        <v>-11.383756</v>
      </c>
      <c r="AZ32" s="30">
        <v>-36.814568000000001</v>
      </c>
      <c r="BA32" s="30">
        <v>-50.973838999999998</v>
      </c>
      <c r="BB32" s="30">
        <v>-39.425147000000003</v>
      </c>
      <c r="BC32" s="30">
        <v>11.546110000000001</v>
      </c>
      <c r="BD32" s="30">
        <v>14.968804</v>
      </c>
      <c r="BE32" s="30">
        <v>82.220364000000004</v>
      </c>
      <c r="BF32" s="30">
        <v>-39.890653999999998</v>
      </c>
      <c r="BG32" s="30">
        <v>-24.896121000000001</v>
      </c>
      <c r="BH32" s="30">
        <v>-48.651314999999997</v>
      </c>
      <c r="BI32" s="30">
        <v>-32.21875</v>
      </c>
      <c r="BJ32" s="30">
        <v>-292</v>
      </c>
      <c r="BK32" s="30">
        <v>-247</v>
      </c>
      <c r="BL32" s="30">
        <v>-135</v>
      </c>
      <c r="BM32" s="30">
        <v>-118</v>
      </c>
      <c r="BN32" s="30">
        <v>-161</v>
      </c>
      <c r="BO32" s="30">
        <v>-140</v>
      </c>
      <c r="BP32" s="30">
        <v>-426</v>
      </c>
      <c r="BQ32" s="30">
        <v>-177</v>
      </c>
      <c r="BR32" s="30">
        <v>-132</v>
      </c>
      <c r="BS32" s="30">
        <v>-111</v>
      </c>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row>
    <row r="33" spans="7:114">
      <c r="G33" s="21"/>
      <c r="H33" s="21"/>
      <c r="I33" s="21"/>
      <c r="J33" s="21" t="str">
        <f xml:space="preserve"> _xll.EPMOlapMemberO("[KEY_FIGURES].[].[STATISTICALFORECASTQTY]","","Statistical Fcst Qty","","000")</f>
        <v>Statistical Fcst Qty</v>
      </c>
      <c r="K33" s="30"/>
      <c r="L33" s="30"/>
      <c r="M33" s="30"/>
      <c r="N33" s="30"/>
      <c r="O33" s="30"/>
      <c r="P33" s="30"/>
      <c r="Q33" s="30"/>
      <c r="R33" s="30"/>
      <c r="S33" s="30"/>
      <c r="T33" s="30"/>
      <c r="U33" s="30"/>
      <c r="V33" s="30"/>
      <c r="W33" s="30"/>
      <c r="X33" s="30"/>
      <c r="Y33" s="30"/>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0"/>
      <c r="BH33" s="30"/>
      <c r="BI33" s="30"/>
      <c r="BJ33" s="30">
        <v>223.392188</v>
      </c>
      <c r="BK33" s="30">
        <v>223.392188</v>
      </c>
      <c r="BL33" s="30">
        <v>223.392188</v>
      </c>
      <c r="BM33" s="30">
        <v>223.392188</v>
      </c>
      <c r="BN33" s="30">
        <v>223.392188</v>
      </c>
      <c r="BO33" s="30">
        <v>223.392188</v>
      </c>
      <c r="BP33" s="30">
        <v>223.392188</v>
      </c>
      <c r="BQ33" s="30">
        <v>223.392188</v>
      </c>
      <c r="BR33" s="30">
        <v>223.392188</v>
      </c>
      <c r="BS33" s="30">
        <v>223.392188</v>
      </c>
      <c r="BT33" s="30">
        <v>223.392188</v>
      </c>
      <c r="BU33" s="30">
        <v>223.392188</v>
      </c>
      <c r="BV33" s="30">
        <v>223.392188</v>
      </c>
      <c r="BW33" s="30">
        <v>223.392188</v>
      </c>
      <c r="BX33" s="30">
        <v>223.392188</v>
      </c>
      <c r="BY33" s="30">
        <v>223.392188</v>
      </c>
      <c r="BZ33" s="30">
        <v>223.392188</v>
      </c>
      <c r="CA33" s="30">
        <v>223.392188</v>
      </c>
      <c r="CB33" s="30">
        <v>223.392188</v>
      </c>
      <c r="CC33" s="30">
        <v>223.392188</v>
      </c>
      <c r="CD33" s="30">
        <v>223.392188</v>
      </c>
      <c r="CE33" s="30">
        <v>223.392188</v>
      </c>
      <c r="CF33" s="30">
        <v>223.392188</v>
      </c>
      <c r="CG33" s="30">
        <v>223.392188</v>
      </c>
      <c r="CH33" s="30">
        <v>223.392188</v>
      </c>
      <c r="CI33" s="30">
        <v>223.392188</v>
      </c>
      <c r="CJ33" s="30">
        <v>223.392188</v>
      </c>
      <c r="CK33" s="30">
        <v>223.392188</v>
      </c>
      <c r="CL33" s="30">
        <v>223.392188</v>
      </c>
      <c r="CM33" s="30">
        <v>223.392188</v>
      </c>
      <c r="CN33" s="30">
        <v>223.392188</v>
      </c>
      <c r="CO33" s="30">
        <v>223.392188</v>
      </c>
      <c r="CP33" s="30">
        <v>223.392188</v>
      </c>
      <c r="CQ33" s="30">
        <v>223.392188</v>
      </c>
      <c r="CR33" s="30">
        <v>223.392188</v>
      </c>
      <c r="CS33" s="30">
        <v>223.392188</v>
      </c>
      <c r="CT33" s="30">
        <v>223.392188</v>
      </c>
      <c r="CU33" s="30">
        <v>223.392188</v>
      </c>
      <c r="CV33" s="30">
        <v>223.392188</v>
      </c>
      <c r="CW33" s="30">
        <v>223.392188</v>
      </c>
      <c r="CX33" s="30">
        <v>223.392188</v>
      </c>
      <c r="CY33" s="30">
        <v>223.392188</v>
      </c>
      <c r="CZ33" s="30">
        <v>223.392188</v>
      </c>
      <c r="DA33" s="30">
        <v>223.392188</v>
      </c>
      <c r="DB33" s="30">
        <v>223.392188</v>
      </c>
      <c r="DC33" s="30">
        <v>223.392188</v>
      </c>
      <c r="DD33" s="30">
        <v>223.392188</v>
      </c>
      <c r="DE33" s="30">
        <v>223.392188</v>
      </c>
      <c r="DF33" s="30">
        <v>223.392188</v>
      </c>
      <c r="DG33" s="30">
        <v>223.392188</v>
      </c>
      <c r="DH33" s="30">
        <v>223.392188</v>
      </c>
      <c r="DI33" s="30">
        <v>223.392188</v>
      </c>
      <c r="DJ33" s="30"/>
    </row>
    <row r="34" spans="7:114">
      <c r="G34" s="21"/>
      <c r="H34" s="21" t="str">
        <f xml:space="preserve"> _xll.EPMOlapMemberO("[LOCID].[].[6210]","","6210","","000")</f>
        <v>6210</v>
      </c>
      <c r="I34" s="21" t="str">
        <f xml:space="preserve"> _xll.EPMOlapMemberO("[CUSTID].[].[0018100001]","","0018100001","","000")</f>
        <v>0018100001</v>
      </c>
      <c r="J34" s="21" t="str">
        <f xml:space="preserve"> _xll.EPMOlapMemberO("[KEY_FIGURES].[].[STATISTICALEXPOSTFORECASTQTY]","","Ex-Post Fcst Qty","","000")</f>
        <v>Ex-Post Fcst Qty</v>
      </c>
      <c r="K34" s="30">
        <v>939.19571399999995</v>
      </c>
      <c r="L34" s="30">
        <v>1036.835791</v>
      </c>
      <c r="M34" s="30">
        <v>914.78569500000003</v>
      </c>
      <c r="N34" s="30">
        <v>909.21849699999996</v>
      </c>
      <c r="O34" s="30">
        <v>1007.500943</v>
      </c>
      <c r="P34" s="30">
        <v>975.810743</v>
      </c>
      <c r="Q34" s="30">
        <v>1004.931467</v>
      </c>
      <c r="R34" s="30">
        <v>829.564751</v>
      </c>
      <c r="S34" s="30">
        <v>980.30732499999999</v>
      </c>
      <c r="T34" s="30">
        <v>916.49867900000004</v>
      </c>
      <c r="U34" s="30">
        <v>992.51233500000001</v>
      </c>
      <c r="V34" s="30">
        <v>934.69913099999997</v>
      </c>
      <c r="W34" s="30">
        <v>931.05904099999998</v>
      </c>
      <c r="X34" s="30">
        <v>914.78569500000003</v>
      </c>
      <c r="Y34" s="30">
        <v>949.68773999999996</v>
      </c>
      <c r="Z34" s="30">
        <v>945.19115699999998</v>
      </c>
      <c r="AA34" s="30">
        <v>891.66041299999995</v>
      </c>
      <c r="AB34" s="30">
        <v>941.97931300000005</v>
      </c>
      <c r="AC34" s="30">
        <v>954.18432199999995</v>
      </c>
      <c r="AD34" s="30">
        <v>839.41440699999998</v>
      </c>
      <c r="AE34" s="30">
        <v>1016.065862</v>
      </c>
      <c r="AF34" s="30">
        <v>952.043092</v>
      </c>
      <c r="AG34" s="30">
        <v>839.62852999999996</v>
      </c>
      <c r="AH34" s="30">
        <v>1052.680891</v>
      </c>
      <c r="AI34" s="30">
        <v>1043.2594799999999</v>
      </c>
      <c r="AJ34" s="30">
        <v>977.30960400000004</v>
      </c>
      <c r="AK34" s="30">
        <v>910.28911200000005</v>
      </c>
      <c r="AL34" s="30">
        <v>921.85175300000003</v>
      </c>
      <c r="AM34" s="30">
        <v>925.92008899999996</v>
      </c>
      <c r="AN34" s="30">
        <v>872.38934600000005</v>
      </c>
      <c r="AO34" s="30">
        <v>858.04310599999997</v>
      </c>
      <c r="AP34" s="30">
        <v>922.065876</v>
      </c>
      <c r="AQ34" s="30">
        <v>918.85403099999996</v>
      </c>
      <c r="AR34" s="30">
        <v>968.10231599999997</v>
      </c>
      <c r="AS34" s="30">
        <v>816.71737199999995</v>
      </c>
      <c r="AT34" s="30">
        <v>1046.043079</v>
      </c>
      <c r="AU34" s="30">
        <v>958.25265899999999</v>
      </c>
      <c r="AV34" s="30">
        <v>986.73101399999996</v>
      </c>
      <c r="AW34" s="30">
        <v>979.66495599999996</v>
      </c>
      <c r="AX34" s="30">
        <v>896.15699600000005</v>
      </c>
      <c r="AY34" s="30">
        <v>943.47817299999997</v>
      </c>
      <c r="AZ34" s="30">
        <v>944.33466499999997</v>
      </c>
      <c r="BA34" s="30">
        <v>970.67179099999998</v>
      </c>
      <c r="BB34" s="30">
        <v>916.28455599999995</v>
      </c>
      <c r="BC34" s="30">
        <v>917.56929300000002</v>
      </c>
      <c r="BD34" s="30">
        <v>1026.557888</v>
      </c>
      <c r="BE34" s="30">
        <v>959.75152000000003</v>
      </c>
      <c r="BF34" s="30">
        <v>1028.699118</v>
      </c>
      <c r="BG34" s="30">
        <v>1062.316425</v>
      </c>
      <c r="BH34" s="30">
        <v>942.19343600000002</v>
      </c>
      <c r="BI34" s="30">
        <v>932.98614799999996</v>
      </c>
      <c r="BJ34" s="30"/>
      <c r="BK34" s="30"/>
      <c r="BL34" s="30"/>
      <c r="BM34" s="30"/>
      <c r="BN34" s="30"/>
      <c r="BO34" s="30"/>
      <c r="BP34" s="30"/>
      <c r="BQ34" s="30"/>
      <c r="BR34" s="30"/>
      <c r="BS34" s="30"/>
      <c r="BT34" s="30"/>
      <c r="BU34" s="30"/>
      <c r="BV34" s="30"/>
      <c r="BW34" s="30"/>
      <c r="BX34" s="30"/>
      <c r="BY34" s="30"/>
      <c r="BZ34" s="30"/>
      <c r="CA34" s="30"/>
      <c r="CB34" s="30"/>
      <c r="CC34" s="30"/>
      <c r="CD34" s="30"/>
      <c r="CE34" s="30"/>
      <c r="CF34" s="30"/>
      <c r="CG34" s="30"/>
      <c r="CH34" s="30"/>
      <c r="CI34" s="30"/>
      <c r="CJ34" s="30"/>
      <c r="CK34" s="30"/>
      <c r="CL34" s="30"/>
      <c r="CM34" s="30"/>
      <c r="CN34" s="30"/>
      <c r="CO34" s="30"/>
      <c r="CP34" s="30"/>
      <c r="CQ34" s="30"/>
      <c r="CR34" s="30"/>
      <c r="CS34" s="30"/>
      <c r="CT34" s="30"/>
      <c r="CU34" s="30"/>
      <c r="CV34" s="30"/>
      <c r="CW34" s="30"/>
      <c r="CX34" s="30"/>
      <c r="CY34" s="30"/>
      <c r="CZ34" s="30"/>
      <c r="DA34" s="30"/>
      <c r="DB34" s="30"/>
      <c r="DC34" s="30"/>
      <c r="DD34" s="30"/>
      <c r="DE34" s="30"/>
      <c r="DF34" s="30"/>
      <c r="DG34" s="30"/>
      <c r="DH34" s="30"/>
      <c r="DI34" s="30"/>
      <c r="DJ34" s="30"/>
    </row>
    <row r="35" spans="7:114">
      <c r="G35" s="42"/>
      <c r="H35" s="42"/>
      <c r="I35" s="42"/>
      <c r="J35" s="42" t="str">
        <f xml:space="preserve"> _xll.EPMOlapMemberO("[KEY_FIGURES].[].[ADJUSTEDACTUALSQTY]","","Actuals Qty Adj.","","000")</f>
        <v>Actuals Qty Adj.</v>
      </c>
      <c r="K35" s="62">
        <v>867</v>
      </c>
      <c r="L35" s="62">
        <v>791</v>
      </c>
      <c r="M35" s="62">
        <v>954</v>
      </c>
      <c r="N35" s="62">
        <v>933</v>
      </c>
      <c r="O35" s="62">
        <v>683</v>
      </c>
      <c r="P35" s="62">
        <v>918</v>
      </c>
      <c r="Q35" s="62">
        <v>975</v>
      </c>
      <c r="R35" s="62">
        <v>439</v>
      </c>
      <c r="S35" s="62">
        <v>1264</v>
      </c>
      <c r="T35" s="62">
        <v>965</v>
      </c>
      <c r="U35" s="62">
        <v>440</v>
      </c>
      <c r="V35" s="62">
        <v>1435</v>
      </c>
      <c r="W35" s="62">
        <v>1391</v>
      </c>
      <c r="X35" s="62">
        <v>1083</v>
      </c>
      <c r="Y35" s="62">
        <v>770</v>
      </c>
      <c r="Z35" s="62">
        <v>824</v>
      </c>
      <c r="AA35" s="62">
        <v>843</v>
      </c>
      <c r="AB35" s="62">
        <v>593</v>
      </c>
      <c r="AC35" s="62">
        <v>526</v>
      </c>
      <c r="AD35" s="62">
        <v>825</v>
      </c>
      <c r="AE35" s="62">
        <v>810</v>
      </c>
      <c r="AF35" s="62">
        <v>1040</v>
      </c>
      <c r="AG35" s="62">
        <v>333</v>
      </c>
      <c r="AH35" s="62">
        <v>1404</v>
      </c>
      <c r="AI35" s="62">
        <v>994</v>
      </c>
      <c r="AJ35" s="62">
        <v>1127</v>
      </c>
      <c r="AK35" s="62">
        <v>1094</v>
      </c>
      <c r="AL35" s="62">
        <v>704</v>
      </c>
      <c r="AM35" s="62">
        <v>925</v>
      </c>
      <c r="AN35" s="62">
        <v>929</v>
      </c>
      <c r="AO35" s="62">
        <v>1052</v>
      </c>
      <c r="AP35" s="62">
        <v>798</v>
      </c>
      <c r="AQ35" s="62">
        <v>804</v>
      </c>
      <c r="AR35" s="62">
        <v>1313</v>
      </c>
      <c r="AS35" s="62">
        <v>1001</v>
      </c>
      <c r="AT35" s="62">
        <v>1323</v>
      </c>
      <c r="AU35" s="62">
        <v>1480</v>
      </c>
      <c r="AV35" s="62">
        <v>919</v>
      </c>
      <c r="AW35" s="62">
        <v>876</v>
      </c>
      <c r="AX35" s="62">
        <v>834</v>
      </c>
      <c r="AY35" s="62">
        <v>1216</v>
      </c>
      <c r="AZ35" s="62">
        <v>953</v>
      </c>
      <c r="BA35" s="62">
        <v>1338</v>
      </c>
      <c r="BB35" s="62">
        <v>955</v>
      </c>
      <c r="BC35" s="62">
        <v>1043</v>
      </c>
      <c r="BD35" s="62">
        <v>889</v>
      </c>
      <c r="BE35" s="62">
        <v>1080</v>
      </c>
      <c r="BF35" s="62">
        <v>1317</v>
      </c>
      <c r="BG35" s="62">
        <v>898</v>
      </c>
      <c r="BH35" s="62">
        <v>1284</v>
      </c>
      <c r="BI35" s="62">
        <v>919</v>
      </c>
      <c r="BJ35" s="62">
        <v>1828</v>
      </c>
      <c r="BK35" s="62">
        <v>505</v>
      </c>
      <c r="BL35" s="62">
        <v>1021</v>
      </c>
      <c r="BM35" s="62">
        <v>743</v>
      </c>
      <c r="BN35" s="62">
        <v>1441</v>
      </c>
      <c r="BO35" s="62">
        <v>783</v>
      </c>
      <c r="BP35" s="62">
        <v>811</v>
      </c>
      <c r="BQ35" s="62">
        <v>1136</v>
      </c>
      <c r="BR35" s="62">
        <v>1073</v>
      </c>
      <c r="BS35" s="62">
        <v>531</v>
      </c>
      <c r="BT35" s="62"/>
      <c r="BU35" s="62"/>
      <c r="BV35" s="62"/>
      <c r="BW35" s="62"/>
      <c r="BX35" s="62"/>
      <c r="BY35" s="62"/>
      <c r="BZ35" s="62"/>
      <c r="CA35" s="62"/>
      <c r="CB35" s="62"/>
      <c r="CC35" s="62"/>
      <c r="CD35" s="62"/>
      <c r="CE35" s="62"/>
      <c r="CF35" s="62"/>
      <c r="CG35" s="62"/>
      <c r="CH35" s="62"/>
      <c r="CI35" s="62"/>
      <c r="CJ35" s="62"/>
      <c r="CK35" s="62"/>
      <c r="CL35" s="62"/>
      <c r="CM35" s="62"/>
      <c r="CN35" s="62"/>
      <c r="CO35" s="62"/>
      <c r="CP35" s="62"/>
      <c r="CQ35" s="62"/>
      <c r="CR35" s="62"/>
      <c r="CS35" s="62"/>
      <c r="CT35" s="62"/>
      <c r="CU35" s="62"/>
      <c r="CV35" s="62"/>
      <c r="CW35" s="62"/>
      <c r="CX35" s="62"/>
      <c r="CY35" s="62"/>
      <c r="CZ35" s="62"/>
      <c r="DA35" s="62"/>
      <c r="DB35" s="62"/>
      <c r="DC35" s="62"/>
      <c r="DD35" s="62"/>
      <c r="DE35" s="62"/>
      <c r="DF35" s="62"/>
      <c r="DG35" s="62"/>
      <c r="DH35" s="62"/>
      <c r="DI35" s="62"/>
      <c r="DJ35" s="62"/>
    </row>
    <row r="36" spans="7:114">
      <c r="G36" s="21"/>
      <c r="H36" s="21"/>
      <c r="I36" s="21"/>
      <c r="J36" s="21" t="str">
        <f xml:space="preserve"> _xll.EPMOlapMemberO("[KEY_FIGURES].[].[RESIDUALEXPOSTFCSTACTUALSADJ]","","Residuals Ex-Post Fcst - Actuals Qty Adj","","000")</f>
        <v>Residuals Ex-Post Fcst - Actuals Qty Adj</v>
      </c>
      <c r="K36" s="30">
        <v>72.195713999999995</v>
      </c>
      <c r="L36" s="30">
        <v>245.835791</v>
      </c>
      <c r="M36" s="30">
        <v>-39.214305000000003</v>
      </c>
      <c r="N36" s="30">
        <v>-23.781503000000001</v>
      </c>
      <c r="O36" s="30">
        <v>324.50094300000001</v>
      </c>
      <c r="P36" s="30">
        <v>57.810743000000002</v>
      </c>
      <c r="Q36" s="30">
        <v>29.931467000000001</v>
      </c>
      <c r="R36" s="30">
        <v>390.564751</v>
      </c>
      <c r="S36" s="30">
        <v>-283.69267500000001</v>
      </c>
      <c r="T36" s="30">
        <v>-48.501320999999997</v>
      </c>
      <c r="U36" s="30">
        <v>552.51233500000001</v>
      </c>
      <c r="V36" s="30">
        <v>-500.30086899999998</v>
      </c>
      <c r="W36" s="30">
        <v>-459.94095900000002</v>
      </c>
      <c r="X36" s="30">
        <v>-168.214305</v>
      </c>
      <c r="Y36" s="30">
        <v>179.68773999999999</v>
      </c>
      <c r="Z36" s="30">
        <v>121.191157</v>
      </c>
      <c r="AA36" s="30">
        <v>48.660412999999998</v>
      </c>
      <c r="AB36" s="30">
        <v>348.97931299999999</v>
      </c>
      <c r="AC36" s="30">
        <v>428.18432200000001</v>
      </c>
      <c r="AD36" s="30">
        <v>14.414407000000001</v>
      </c>
      <c r="AE36" s="30">
        <v>206.06586200000001</v>
      </c>
      <c r="AF36" s="30">
        <v>-87.956907999999999</v>
      </c>
      <c r="AG36" s="30">
        <v>506.62853000000001</v>
      </c>
      <c r="AH36" s="30">
        <v>-351.31910900000003</v>
      </c>
      <c r="AI36" s="30">
        <v>49.259480000000003</v>
      </c>
      <c r="AJ36" s="30">
        <v>-149.69039599999999</v>
      </c>
      <c r="AK36" s="30">
        <v>-183.71088800000001</v>
      </c>
      <c r="AL36" s="30">
        <v>217.851753</v>
      </c>
      <c r="AM36" s="30">
        <v>0.92008900000000005</v>
      </c>
      <c r="AN36" s="30">
        <v>-56.610653999999997</v>
      </c>
      <c r="AO36" s="30">
        <v>-193.95689400000001</v>
      </c>
      <c r="AP36" s="30">
        <v>124.065876</v>
      </c>
      <c r="AQ36" s="30">
        <v>114.85403100000001</v>
      </c>
      <c r="AR36" s="30">
        <v>-344.89768400000003</v>
      </c>
      <c r="AS36" s="30">
        <v>-184.28262799999999</v>
      </c>
      <c r="AT36" s="30">
        <v>-276.95692100000002</v>
      </c>
      <c r="AU36" s="30">
        <v>-521.74734100000001</v>
      </c>
      <c r="AV36" s="30">
        <v>67.731014000000002</v>
      </c>
      <c r="AW36" s="30">
        <v>103.664956</v>
      </c>
      <c r="AX36" s="30">
        <v>62.156995999999999</v>
      </c>
      <c r="AY36" s="30">
        <v>-272.52182699999997</v>
      </c>
      <c r="AZ36" s="30">
        <v>-8.6653350000000007</v>
      </c>
      <c r="BA36" s="30">
        <v>-367.32820900000002</v>
      </c>
      <c r="BB36" s="30">
        <v>-38.715443999999998</v>
      </c>
      <c r="BC36" s="30">
        <v>-125.430707</v>
      </c>
      <c r="BD36" s="30">
        <v>137.55788799999999</v>
      </c>
      <c r="BE36" s="30">
        <v>-120.24848</v>
      </c>
      <c r="BF36" s="30">
        <v>-288.300882</v>
      </c>
      <c r="BG36" s="30">
        <v>164.31642500000001</v>
      </c>
      <c r="BH36" s="30">
        <v>-341.80656399999998</v>
      </c>
      <c r="BI36" s="30">
        <v>13.986148</v>
      </c>
      <c r="BJ36" s="30">
        <v>-1828</v>
      </c>
      <c r="BK36" s="30">
        <v>-505</v>
      </c>
      <c r="BL36" s="30">
        <v>-1021</v>
      </c>
      <c r="BM36" s="30">
        <v>-743</v>
      </c>
      <c r="BN36" s="30">
        <v>-1441</v>
      </c>
      <c r="BO36" s="30">
        <v>-783</v>
      </c>
      <c r="BP36" s="30">
        <v>-811</v>
      </c>
      <c r="BQ36" s="30">
        <v>-1136</v>
      </c>
      <c r="BR36" s="30">
        <v>-1073</v>
      </c>
      <c r="BS36" s="30">
        <v>-531</v>
      </c>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row>
    <row r="37" spans="7:114">
      <c r="G37" s="21"/>
      <c r="H37" s="21"/>
      <c r="I37" s="21"/>
      <c r="J37" s="21" t="str">
        <f xml:space="preserve"> _xll.EPMOlapMemberO("[KEY_FIGURES].[].[STATISTICALFORECASTQTY]","","Statistical Fcst Qty","","000")</f>
        <v>Statistical Fcst Qty</v>
      </c>
      <c r="K37" s="30"/>
      <c r="L37" s="30"/>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v>923.99246100000005</v>
      </c>
      <c r="BK37" s="30">
        <v>1005.787065</v>
      </c>
      <c r="BL37" s="30">
        <v>949.47297900000001</v>
      </c>
      <c r="BM37" s="30">
        <v>1031.9099490000001</v>
      </c>
      <c r="BN37" s="30">
        <v>949.90122299999996</v>
      </c>
      <c r="BO37" s="30">
        <v>968.74395900000002</v>
      </c>
      <c r="BP37" s="30">
        <v>935.76917100000003</v>
      </c>
      <c r="BQ37" s="30">
        <v>976.666473</v>
      </c>
      <c r="BR37" s="30">
        <v>1027.4133870000001</v>
      </c>
      <c r="BS37" s="30">
        <v>937.69626900000003</v>
      </c>
      <c r="BT37" s="30">
        <v>1020.347361</v>
      </c>
      <c r="BU37" s="30">
        <v>942.19283099999996</v>
      </c>
      <c r="BV37" s="30">
        <v>943.26182700000004</v>
      </c>
      <c r="BW37" s="30">
        <v>960.77585099999999</v>
      </c>
      <c r="BX37" s="30">
        <v>948.71776599999998</v>
      </c>
      <c r="BY37" s="30">
        <v>966.36933499999998</v>
      </c>
      <c r="BZ37" s="30">
        <v>948.80946300000005</v>
      </c>
      <c r="CA37" s="30">
        <v>952.84410700000001</v>
      </c>
      <c r="CB37" s="30">
        <v>945.78348000000005</v>
      </c>
      <c r="CC37" s="30">
        <v>954.54049199999997</v>
      </c>
      <c r="CD37" s="30">
        <v>965.406522</v>
      </c>
      <c r="CE37" s="30">
        <v>946.19611399999997</v>
      </c>
      <c r="CF37" s="30">
        <v>963.89353100000005</v>
      </c>
      <c r="CG37" s="30">
        <v>947.15892699999995</v>
      </c>
      <c r="CH37" s="30">
        <v>947.38782200000003</v>
      </c>
      <c r="CI37" s="30">
        <v>951.13796000000002</v>
      </c>
      <c r="CJ37" s="30">
        <v>948.556059</v>
      </c>
      <c r="CK37" s="30">
        <v>952.33564799999999</v>
      </c>
      <c r="CL37" s="30">
        <v>948.575693</v>
      </c>
      <c r="CM37" s="30">
        <v>949.43959900000004</v>
      </c>
      <c r="CN37" s="30">
        <v>947.92776300000003</v>
      </c>
      <c r="CO37" s="30">
        <v>949.80283199999997</v>
      </c>
      <c r="CP37" s="30">
        <v>952.12948900000004</v>
      </c>
      <c r="CQ37" s="30">
        <v>948.01611700000001</v>
      </c>
      <c r="CR37" s="30">
        <v>951.80552399999999</v>
      </c>
      <c r="CS37" s="30">
        <v>948.22227699999996</v>
      </c>
      <c r="CT37" s="30">
        <v>948.27128800000003</v>
      </c>
      <c r="CU37" s="30">
        <v>949.07427499999994</v>
      </c>
      <c r="CV37" s="30">
        <v>948.521434</v>
      </c>
      <c r="CW37" s="30">
        <v>949.33072700000002</v>
      </c>
      <c r="CX37" s="30">
        <v>948.52563799999996</v>
      </c>
      <c r="CY37" s="30">
        <v>948.71061899999995</v>
      </c>
      <c r="CZ37" s="30">
        <v>948.38690199999996</v>
      </c>
      <c r="DA37" s="30">
        <v>948.78839500000004</v>
      </c>
      <c r="DB37" s="30">
        <v>949.28658299999995</v>
      </c>
      <c r="DC37" s="30">
        <v>948.40581999999995</v>
      </c>
      <c r="DD37" s="30">
        <v>949.21721500000001</v>
      </c>
      <c r="DE37" s="30">
        <v>948.44996300000003</v>
      </c>
      <c r="DF37" s="30">
        <v>948.46045800000002</v>
      </c>
      <c r="DG37" s="30">
        <v>948.63239499999997</v>
      </c>
      <c r="DH37" s="30">
        <v>948.51401999999996</v>
      </c>
      <c r="DI37" s="30">
        <v>948.68730700000003</v>
      </c>
      <c r="DJ37" s="30"/>
    </row>
    <row r="38" spans="7:114">
      <c r="G38" s="21" t="str">
        <f xml:space="preserve"> _xll.EPMOlapMemberO("[PRDID].[].[IBP-300]","","IBP-300","","000")</f>
        <v>IBP-300</v>
      </c>
      <c r="H38" s="21" t="str">
        <f xml:space="preserve"> _xll.EPMOlapMemberO("[LOCID].[].[1720]","","1720","","000")</f>
        <v>1720</v>
      </c>
      <c r="I38" s="21" t="str">
        <f xml:space="preserve"> _xll.EPMOlapMemberO("[CUSTID].[].[0017100003]","","0017100003","","000")</f>
        <v>0017100003</v>
      </c>
      <c r="J38" s="21" t="str">
        <f xml:space="preserve"> _xll.EPMOlapMemberO("[KEY_FIGURES].[].[STATISTICALEXPOSTFORECASTQTY]","","Ex-Post Fcst Qty","","000")</f>
        <v>Ex-Post Fcst Qty</v>
      </c>
      <c r="K38" s="30">
        <v>243.321718</v>
      </c>
      <c r="L38" s="30">
        <v>237.805632</v>
      </c>
      <c r="M38" s="30">
        <v>235.46535</v>
      </c>
      <c r="N38" s="30">
        <v>238.942083</v>
      </c>
      <c r="O38" s="30">
        <v>237.69497899999999</v>
      </c>
      <c r="P38" s="30">
        <v>238.41023000000001</v>
      </c>
      <c r="Q38" s="30">
        <v>234.88971799999999</v>
      </c>
      <c r="R38" s="30">
        <v>240.14523199999999</v>
      </c>
      <c r="S38" s="30">
        <v>241.537971</v>
      </c>
      <c r="T38" s="30">
        <v>252.33578700000001</v>
      </c>
      <c r="U38" s="30">
        <v>252.11899700000001</v>
      </c>
      <c r="V38" s="30">
        <v>248.163048</v>
      </c>
      <c r="W38" s="30">
        <v>250.15489500000001</v>
      </c>
      <c r="X38" s="30">
        <v>253.04714999999999</v>
      </c>
      <c r="Y38" s="30">
        <v>246.64479299999999</v>
      </c>
      <c r="Z38" s="30">
        <v>242.56255300000001</v>
      </c>
      <c r="AA38" s="30">
        <v>240.33442500000001</v>
      </c>
      <c r="AB38" s="30">
        <v>237.117704</v>
      </c>
      <c r="AC38" s="30">
        <v>239.96181899999999</v>
      </c>
      <c r="AD38" s="30">
        <v>239.963728</v>
      </c>
      <c r="AE38" s="30">
        <v>239.965542</v>
      </c>
      <c r="AF38" s="30">
        <v>236.11726400000001</v>
      </c>
      <c r="AG38" s="30">
        <v>233.611401</v>
      </c>
      <c r="AH38" s="30">
        <v>234.28083100000001</v>
      </c>
      <c r="AI38" s="30">
        <v>233.36679000000001</v>
      </c>
      <c r="AJ38" s="30">
        <v>230.74844999999999</v>
      </c>
      <c r="AK38" s="30">
        <v>229.61102700000001</v>
      </c>
      <c r="AL38" s="30">
        <v>228.38047599999999</v>
      </c>
      <c r="AM38" s="30">
        <v>226.561452</v>
      </c>
      <c r="AN38" s="30">
        <v>224.28337999999999</v>
      </c>
      <c r="AO38" s="30">
        <v>223.069211</v>
      </c>
      <c r="AP38" s="30">
        <v>220.86574999999999</v>
      </c>
      <c r="AQ38" s="30">
        <v>223.222463</v>
      </c>
      <c r="AR38" s="30">
        <v>225.161339</v>
      </c>
      <c r="AS38" s="30">
        <v>226.80327199999999</v>
      </c>
      <c r="AT38" s="30">
        <v>221.76310899999999</v>
      </c>
      <c r="AU38" s="30">
        <v>221.27495300000001</v>
      </c>
      <c r="AV38" s="30">
        <v>221.11120600000001</v>
      </c>
      <c r="AW38" s="30">
        <v>221.65564499999999</v>
      </c>
      <c r="AX38" s="30">
        <v>226.022863</v>
      </c>
      <c r="AY38" s="30">
        <v>223.42171999999999</v>
      </c>
      <c r="AZ38" s="30">
        <v>224.20063400000001</v>
      </c>
      <c r="BA38" s="30">
        <v>227.44060200000001</v>
      </c>
      <c r="BB38" s="30">
        <v>226.31857199999999</v>
      </c>
      <c r="BC38" s="30">
        <v>226.352643</v>
      </c>
      <c r="BD38" s="30">
        <v>227.935011</v>
      </c>
      <c r="BE38" s="30">
        <v>232.638261</v>
      </c>
      <c r="BF38" s="30">
        <v>236.606348</v>
      </c>
      <c r="BG38" s="30">
        <v>238.77602999999999</v>
      </c>
      <c r="BH38" s="30">
        <v>241.98722900000001</v>
      </c>
      <c r="BI38" s="30">
        <v>251.18786700000001</v>
      </c>
      <c r="BJ38" s="30"/>
      <c r="BK38" s="30"/>
      <c r="BL38" s="30"/>
      <c r="BM38" s="30"/>
      <c r="BN38" s="30"/>
      <c r="BO38" s="30"/>
      <c r="BP38" s="30"/>
      <c r="BQ38" s="30"/>
      <c r="BR38" s="30"/>
      <c r="BS38" s="30"/>
      <c r="BT38" s="30"/>
      <c r="BU38" s="30"/>
      <c r="BV38" s="30"/>
      <c r="BW38" s="30"/>
      <c r="BX38" s="30"/>
      <c r="BY38" s="30"/>
      <c r="BZ38" s="30"/>
      <c r="CA38" s="30"/>
      <c r="CB38" s="30"/>
      <c r="CC38" s="30"/>
      <c r="CD38" s="30"/>
      <c r="CE38" s="30"/>
      <c r="CF38" s="30"/>
      <c r="CG38" s="30"/>
      <c r="CH38" s="30"/>
      <c r="CI38" s="30"/>
      <c r="CJ38" s="30"/>
      <c r="CK38" s="30"/>
      <c r="CL38" s="30"/>
      <c r="CM38" s="30"/>
      <c r="CN38" s="30"/>
      <c r="CO38" s="30"/>
      <c r="CP38" s="30"/>
      <c r="CQ38" s="30"/>
      <c r="CR38" s="30"/>
      <c r="CS38" s="30"/>
      <c r="CT38" s="30"/>
      <c r="CU38" s="30"/>
      <c r="CV38" s="30"/>
      <c r="CW38" s="30"/>
      <c r="CX38" s="30"/>
      <c r="CY38" s="30"/>
      <c r="CZ38" s="30"/>
      <c r="DA38" s="30"/>
      <c r="DB38" s="30"/>
      <c r="DC38" s="30"/>
      <c r="DD38" s="30"/>
      <c r="DE38" s="30"/>
      <c r="DF38" s="30"/>
      <c r="DG38" s="30"/>
      <c r="DH38" s="30"/>
      <c r="DI38" s="30"/>
      <c r="DJ38" s="30"/>
    </row>
    <row r="39" spans="7:114">
      <c r="G39" s="42"/>
      <c r="H39" s="42"/>
      <c r="I39" s="42"/>
      <c r="J39" s="42" t="str">
        <f xml:space="preserve"> _xll.EPMOlapMemberO("[KEY_FIGURES].[].[ADJUSTEDACTUALSQTY]","","Actuals Qty Adj.","","000")</f>
        <v>Actuals Qty Adj.</v>
      </c>
      <c r="K39" s="62">
        <v>133</v>
      </c>
      <c r="L39" s="62">
        <v>191</v>
      </c>
      <c r="M39" s="62">
        <v>305</v>
      </c>
      <c r="N39" s="62">
        <v>214</v>
      </c>
      <c r="O39" s="62">
        <v>252</v>
      </c>
      <c r="P39" s="62">
        <v>168</v>
      </c>
      <c r="Q39" s="62">
        <v>340</v>
      </c>
      <c r="R39" s="62">
        <v>268</v>
      </c>
      <c r="S39" s="62">
        <v>52</v>
      </c>
      <c r="T39" s="62">
        <v>248</v>
      </c>
      <c r="U39" s="62">
        <v>173</v>
      </c>
      <c r="V39" s="62">
        <v>288</v>
      </c>
      <c r="W39" s="62">
        <v>308</v>
      </c>
      <c r="X39" s="62">
        <v>125</v>
      </c>
      <c r="Y39" s="62">
        <v>165</v>
      </c>
      <c r="Z39" s="62">
        <v>198</v>
      </c>
      <c r="AA39" s="62">
        <v>176</v>
      </c>
      <c r="AB39" s="62">
        <v>294</v>
      </c>
      <c r="AC39" s="62">
        <v>240</v>
      </c>
      <c r="AD39" s="62">
        <v>240</v>
      </c>
      <c r="AE39" s="62">
        <v>163</v>
      </c>
      <c r="AF39" s="62">
        <v>186</v>
      </c>
      <c r="AG39" s="62">
        <v>247</v>
      </c>
      <c r="AH39" s="62">
        <v>216</v>
      </c>
      <c r="AI39" s="62">
        <v>181</v>
      </c>
      <c r="AJ39" s="62">
        <v>208</v>
      </c>
      <c r="AK39" s="62">
        <v>205</v>
      </c>
      <c r="AL39" s="62">
        <v>192</v>
      </c>
      <c r="AM39" s="62">
        <v>181</v>
      </c>
      <c r="AN39" s="62">
        <v>200</v>
      </c>
      <c r="AO39" s="62">
        <v>179</v>
      </c>
      <c r="AP39" s="62">
        <v>268</v>
      </c>
      <c r="AQ39" s="62">
        <v>262</v>
      </c>
      <c r="AR39" s="62">
        <v>258</v>
      </c>
      <c r="AS39" s="62">
        <v>126</v>
      </c>
      <c r="AT39" s="62">
        <v>212</v>
      </c>
      <c r="AU39" s="62">
        <v>218</v>
      </c>
      <c r="AV39" s="62">
        <v>232</v>
      </c>
      <c r="AW39" s="62">
        <v>309</v>
      </c>
      <c r="AX39" s="62">
        <v>174</v>
      </c>
      <c r="AY39" s="62">
        <v>239</v>
      </c>
      <c r="AZ39" s="62">
        <v>289</v>
      </c>
      <c r="BA39" s="62">
        <v>205</v>
      </c>
      <c r="BB39" s="62">
        <v>227</v>
      </c>
      <c r="BC39" s="62">
        <v>258</v>
      </c>
      <c r="BD39" s="62">
        <v>322</v>
      </c>
      <c r="BE39" s="62">
        <v>312</v>
      </c>
      <c r="BF39" s="62">
        <v>280</v>
      </c>
      <c r="BG39" s="62">
        <v>303</v>
      </c>
      <c r="BH39" s="62">
        <v>426</v>
      </c>
      <c r="BI39" s="62">
        <v>183</v>
      </c>
      <c r="BJ39" s="62">
        <v>247</v>
      </c>
      <c r="BK39" s="62">
        <v>243</v>
      </c>
      <c r="BL39" s="62">
        <v>235</v>
      </c>
      <c r="BM39" s="62">
        <v>238</v>
      </c>
      <c r="BN39" s="62">
        <v>384</v>
      </c>
      <c r="BO39" s="62">
        <v>212</v>
      </c>
      <c r="BP39" s="62">
        <v>325</v>
      </c>
      <c r="BQ39" s="62">
        <v>345</v>
      </c>
      <c r="BR39" s="62">
        <v>116</v>
      </c>
      <c r="BS39" s="62">
        <v>75</v>
      </c>
      <c r="BT39" s="62"/>
      <c r="BU39" s="62"/>
      <c r="BV39" s="62"/>
      <c r="BW39" s="62"/>
      <c r="BX39" s="62"/>
      <c r="BY39" s="62"/>
      <c r="BZ39" s="62"/>
      <c r="CA39" s="62"/>
      <c r="CB39" s="62"/>
      <c r="CC39" s="62"/>
      <c r="CD39" s="62"/>
      <c r="CE39" s="62"/>
      <c r="CF39" s="62"/>
      <c r="CG39" s="62"/>
      <c r="CH39" s="62"/>
      <c r="CI39" s="62"/>
      <c r="CJ39" s="62"/>
      <c r="CK39" s="62"/>
      <c r="CL39" s="62"/>
      <c r="CM39" s="62"/>
      <c r="CN39" s="62"/>
      <c r="CO39" s="62"/>
      <c r="CP39" s="62"/>
      <c r="CQ39" s="62"/>
      <c r="CR39" s="62"/>
      <c r="CS39" s="62"/>
      <c r="CT39" s="62"/>
      <c r="CU39" s="62"/>
      <c r="CV39" s="62"/>
      <c r="CW39" s="62"/>
      <c r="CX39" s="62"/>
      <c r="CY39" s="62"/>
      <c r="CZ39" s="62"/>
      <c r="DA39" s="62"/>
      <c r="DB39" s="62"/>
      <c r="DC39" s="62"/>
      <c r="DD39" s="62"/>
      <c r="DE39" s="62"/>
      <c r="DF39" s="62"/>
      <c r="DG39" s="62"/>
      <c r="DH39" s="62"/>
      <c r="DI39" s="62"/>
      <c r="DJ39" s="62"/>
    </row>
    <row r="40" spans="7:114">
      <c r="G40" s="21"/>
      <c r="H40" s="21"/>
      <c r="I40" s="21"/>
      <c r="J40" s="21" t="str">
        <f xml:space="preserve"> _xll.EPMOlapMemberO("[KEY_FIGURES].[].[RESIDUALEXPOSTFCSTACTUALSADJ]","","Residuals Ex-Post Fcst - Actuals Qty Adj","","000")</f>
        <v>Residuals Ex-Post Fcst - Actuals Qty Adj</v>
      </c>
      <c r="K40" s="30">
        <v>110.321718</v>
      </c>
      <c r="L40" s="30">
        <v>46.805632000000003</v>
      </c>
      <c r="M40" s="30">
        <v>-69.534649999999999</v>
      </c>
      <c r="N40" s="30">
        <v>24.942083</v>
      </c>
      <c r="O40" s="30">
        <v>-14.305021</v>
      </c>
      <c r="P40" s="30">
        <v>70.410229999999999</v>
      </c>
      <c r="Q40" s="30">
        <v>-105.110282</v>
      </c>
      <c r="R40" s="30">
        <v>-27.854768</v>
      </c>
      <c r="S40" s="30">
        <v>189.537971</v>
      </c>
      <c r="T40" s="30">
        <v>4.3357869999999998</v>
      </c>
      <c r="U40" s="30">
        <v>79.118996999999993</v>
      </c>
      <c r="V40" s="30">
        <v>-39.836951999999997</v>
      </c>
      <c r="W40" s="30">
        <v>-57.845104999999997</v>
      </c>
      <c r="X40" s="30">
        <v>128.04714999999999</v>
      </c>
      <c r="Y40" s="30">
        <v>81.644793000000007</v>
      </c>
      <c r="Z40" s="30">
        <v>44.562553000000001</v>
      </c>
      <c r="AA40" s="30">
        <v>64.334424999999996</v>
      </c>
      <c r="AB40" s="30">
        <v>-56.882295999999997</v>
      </c>
      <c r="AC40" s="30">
        <v>-3.8181E-2</v>
      </c>
      <c r="AD40" s="30">
        <v>-3.6271999999999999E-2</v>
      </c>
      <c r="AE40" s="30">
        <v>76.965541999999999</v>
      </c>
      <c r="AF40" s="30">
        <v>50.117263999999999</v>
      </c>
      <c r="AG40" s="30">
        <v>-13.388598999999999</v>
      </c>
      <c r="AH40" s="30">
        <v>18.280830999999999</v>
      </c>
      <c r="AI40" s="30">
        <v>52.366790000000002</v>
      </c>
      <c r="AJ40" s="30">
        <v>22.748449999999998</v>
      </c>
      <c r="AK40" s="30">
        <v>24.611027</v>
      </c>
      <c r="AL40" s="30">
        <v>36.380476000000002</v>
      </c>
      <c r="AM40" s="30">
        <v>45.561452000000003</v>
      </c>
      <c r="AN40" s="30">
        <v>24.283380000000001</v>
      </c>
      <c r="AO40" s="30">
        <v>44.069211000000003</v>
      </c>
      <c r="AP40" s="30">
        <v>-47.134250000000002</v>
      </c>
      <c r="AQ40" s="30">
        <v>-38.777537000000002</v>
      </c>
      <c r="AR40" s="30">
        <v>-32.838661000000002</v>
      </c>
      <c r="AS40" s="30">
        <v>100.80327200000001</v>
      </c>
      <c r="AT40" s="30">
        <v>9.763109</v>
      </c>
      <c r="AU40" s="30">
        <v>3.274953</v>
      </c>
      <c r="AV40" s="30">
        <v>-10.888794000000001</v>
      </c>
      <c r="AW40" s="30">
        <v>-87.344354999999993</v>
      </c>
      <c r="AX40" s="30">
        <v>52.022863000000001</v>
      </c>
      <c r="AY40" s="30">
        <v>-15.578279999999999</v>
      </c>
      <c r="AZ40" s="30">
        <v>-64.799366000000006</v>
      </c>
      <c r="BA40" s="30">
        <v>22.440601999999998</v>
      </c>
      <c r="BB40" s="30">
        <v>-0.68142800000000003</v>
      </c>
      <c r="BC40" s="30">
        <v>-31.647357</v>
      </c>
      <c r="BD40" s="30">
        <v>-94.064988999999997</v>
      </c>
      <c r="BE40" s="30">
        <v>-79.361739</v>
      </c>
      <c r="BF40" s="30">
        <v>-43.393652000000003</v>
      </c>
      <c r="BG40" s="30">
        <v>-64.223969999999994</v>
      </c>
      <c r="BH40" s="30">
        <v>-184.01277099999999</v>
      </c>
      <c r="BI40" s="30">
        <v>68.187866999999997</v>
      </c>
      <c r="BJ40" s="30">
        <v>-247</v>
      </c>
      <c r="BK40" s="30">
        <v>-243</v>
      </c>
      <c r="BL40" s="30">
        <v>-235</v>
      </c>
      <c r="BM40" s="30">
        <v>-238</v>
      </c>
      <c r="BN40" s="30">
        <v>-384</v>
      </c>
      <c r="BO40" s="30">
        <v>-212</v>
      </c>
      <c r="BP40" s="30">
        <v>-325</v>
      </c>
      <c r="BQ40" s="30">
        <v>-345</v>
      </c>
      <c r="BR40" s="30">
        <v>-116</v>
      </c>
      <c r="BS40" s="30">
        <v>-75</v>
      </c>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row>
    <row r="41" spans="7:114">
      <c r="G41" s="21"/>
      <c r="H41" s="21"/>
      <c r="I41" s="21"/>
      <c r="J41" s="21" t="str">
        <f xml:space="preserve"> _xll.EPMOlapMemberO("[KEY_FIGURES].[].[STATISTICALFORECASTQTY]","","Statistical Fcst Qty","","000")</f>
        <v>Statistical Fcst Qty</v>
      </c>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v>247.77847399999999</v>
      </c>
      <c r="BK41" s="30">
        <v>247.77847399999999</v>
      </c>
      <c r="BL41" s="30">
        <v>247.77847399999999</v>
      </c>
      <c r="BM41" s="30">
        <v>247.77847399999999</v>
      </c>
      <c r="BN41" s="30">
        <v>247.77847399999999</v>
      </c>
      <c r="BO41" s="30">
        <v>247.77847399999999</v>
      </c>
      <c r="BP41" s="30">
        <v>247.77847399999999</v>
      </c>
      <c r="BQ41" s="30">
        <v>247.77847399999999</v>
      </c>
      <c r="BR41" s="30">
        <v>247.77847399999999</v>
      </c>
      <c r="BS41" s="30">
        <v>247.77847399999999</v>
      </c>
      <c r="BT41" s="30">
        <v>247.77847399999999</v>
      </c>
      <c r="BU41" s="30">
        <v>247.77847399999999</v>
      </c>
      <c r="BV41" s="30">
        <v>247.77847399999999</v>
      </c>
      <c r="BW41" s="30">
        <v>247.77847399999999</v>
      </c>
      <c r="BX41" s="30">
        <v>247.77847399999999</v>
      </c>
      <c r="BY41" s="30">
        <v>247.77847399999999</v>
      </c>
      <c r="BZ41" s="30">
        <v>247.77847399999999</v>
      </c>
      <c r="CA41" s="30">
        <v>247.77847399999999</v>
      </c>
      <c r="CB41" s="30">
        <v>247.77847399999999</v>
      </c>
      <c r="CC41" s="30">
        <v>247.77847399999999</v>
      </c>
      <c r="CD41" s="30">
        <v>247.77847399999999</v>
      </c>
      <c r="CE41" s="30">
        <v>247.77847399999999</v>
      </c>
      <c r="CF41" s="30">
        <v>247.77847399999999</v>
      </c>
      <c r="CG41" s="30">
        <v>247.77847399999999</v>
      </c>
      <c r="CH41" s="30">
        <v>247.77847399999999</v>
      </c>
      <c r="CI41" s="30">
        <v>247.77847399999999</v>
      </c>
      <c r="CJ41" s="30">
        <v>247.77847399999999</v>
      </c>
      <c r="CK41" s="30">
        <v>247.77847399999999</v>
      </c>
      <c r="CL41" s="30">
        <v>247.77847399999999</v>
      </c>
      <c r="CM41" s="30">
        <v>247.77847399999999</v>
      </c>
      <c r="CN41" s="30">
        <v>247.77847399999999</v>
      </c>
      <c r="CO41" s="30">
        <v>247.77847399999999</v>
      </c>
      <c r="CP41" s="30">
        <v>247.77847399999999</v>
      </c>
      <c r="CQ41" s="30">
        <v>247.77847399999999</v>
      </c>
      <c r="CR41" s="30">
        <v>247.77847399999999</v>
      </c>
      <c r="CS41" s="30">
        <v>247.77847399999999</v>
      </c>
      <c r="CT41" s="30">
        <v>247.77847399999999</v>
      </c>
      <c r="CU41" s="30">
        <v>247.77847399999999</v>
      </c>
      <c r="CV41" s="30">
        <v>247.77847399999999</v>
      </c>
      <c r="CW41" s="30">
        <v>247.77847399999999</v>
      </c>
      <c r="CX41" s="30">
        <v>247.77847399999999</v>
      </c>
      <c r="CY41" s="30">
        <v>247.77847399999999</v>
      </c>
      <c r="CZ41" s="30">
        <v>247.77847399999999</v>
      </c>
      <c r="DA41" s="30">
        <v>247.77847399999999</v>
      </c>
      <c r="DB41" s="30">
        <v>247.77847399999999</v>
      </c>
      <c r="DC41" s="30">
        <v>247.77847399999999</v>
      </c>
      <c r="DD41" s="30">
        <v>247.77847399999999</v>
      </c>
      <c r="DE41" s="30">
        <v>247.77847399999999</v>
      </c>
      <c r="DF41" s="30">
        <v>247.77847399999999</v>
      </c>
      <c r="DG41" s="30">
        <v>247.77847399999999</v>
      </c>
      <c r="DH41" s="30">
        <v>247.77847399999999</v>
      </c>
      <c r="DI41" s="30">
        <v>247.77847399999999</v>
      </c>
      <c r="DJ41" s="30"/>
    </row>
    <row r="42" spans="7:114">
      <c r="G42" s="21"/>
      <c r="H42" s="21" t="str">
        <f xml:space="preserve"> _xll.EPMOlapMemberO("[LOCID].[].[3710]","","3710","","000")</f>
        <v>3710</v>
      </c>
      <c r="I42" s="21" t="str">
        <f xml:space="preserve"> _xll.EPMOlapMemberO("[CUSTID].[].[0011100001]","","0011100001","","000")</f>
        <v>0011100001</v>
      </c>
      <c r="J42" s="21" t="str">
        <f xml:space="preserve"> _xll.EPMOlapMemberO("[KEY_FIGURES].[].[STATISTICALEXPOSTFORECASTQTY]","","Ex-Post Fcst Qty","","000")</f>
        <v>Ex-Post Fcst Qty</v>
      </c>
      <c r="K42" s="30">
        <v>221.05059600000001</v>
      </c>
      <c r="L42" s="30">
        <v>222.15095199999999</v>
      </c>
      <c r="M42" s="30">
        <v>37.404049999999998</v>
      </c>
      <c r="N42" s="30">
        <v>462.91719499999999</v>
      </c>
      <c r="O42" s="30">
        <v>215.15790899999999</v>
      </c>
      <c r="P42" s="30">
        <v>304.39397000000002</v>
      </c>
      <c r="Q42" s="30">
        <v>270.19528600000001</v>
      </c>
      <c r="R42" s="30">
        <v>331.95638000000002</v>
      </c>
      <c r="S42" s="30">
        <v>304.66698600000001</v>
      </c>
      <c r="T42" s="30">
        <v>252.54657599999999</v>
      </c>
      <c r="U42" s="30">
        <v>136.73154700000001</v>
      </c>
      <c r="V42" s="30">
        <v>93.404291999999998</v>
      </c>
      <c r="W42" s="30">
        <v>213.711929</v>
      </c>
      <c r="X42" s="30">
        <v>431.26385499999998</v>
      </c>
      <c r="Y42" s="30">
        <v>185.71075300000001</v>
      </c>
      <c r="Z42" s="30">
        <v>269.72331300000002</v>
      </c>
      <c r="AA42" s="30">
        <v>232.73140000000001</v>
      </c>
      <c r="AB42" s="30">
        <v>383.30866600000002</v>
      </c>
      <c r="AC42" s="30">
        <v>427.81876399999999</v>
      </c>
      <c r="AD42" s="30">
        <v>242.665391</v>
      </c>
      <c r="AE42" s="30">
        <v>195.55125799999999</v>
      </c>
      <c r="AF42" s="30">
        <v>238.29841400000001</v>
      </c>
      <c r="AG42" s="30">
        <v>201.15812199999999</v>
      </c>
      <c r="AH42" s="30">
        <v>341.545773</v>
      </c>
      <c r="AI42" s="30">
        <v>538.03492000000006</v>
      </c>
      <c r="AJ42" s="30">
        <v>255.28963999999999</v>
      </c>
      <c r="AK42" s="30">
        <v>306.27614799999998</v>
      </c>
      <c r="AL42" s="30">
        <v>345.53919999999999</v>
      </c>
      <c r="AM42" s="30">
        <v>224.524586</v>
      </c>
      <c r="AN42" s="30">
        <v>368.18677300000002</v>
      </c>
      <c r="AO42" s="30">
        <v>189.082504</v>
      </c>
      <c r="AP42" s="30">
        <v>233.26820900000001</v>
      </c>
      <c r="AQ42" s="30">
        <v>221.68202199999999</v>
      </c>
      <c r="AR42" s="30">
        <v>221.66153</v>
      </c>
      <c r="AS42" s="30">
        <v>337.52784400000002</v>
      </c>
      <c r="AT42" s="30">
        <v>412.05388699999997</v>
      </c>
      <c r="AU42" s="30">
        <v>348.46123999999998</v>
      </c>
      <c r="AV42" s="30">
        <v>238.369956</v>
      </c>
      <c r="AW42" s="30">
        <v>248.87759399999999</v>
      </c>
      <c r="AX42" s="30">
        <v>318.08966500000002</v>
      </c>
      <c r="AY42" s="30">
        <v>302.232395</v>
      </c>
      <c r="AZ42" s="30">
        <v>340.94285300000001</v>
      </c>
      <c r="BA42" s="30">
        <v>399.88240999999999</v>
      </c>
      <c r="BB42" s="30">
        <v>150.848906</v>
      </c>
      <c r="BC42" s="30">
        <v>341.64428199999998</v>
      </c>
      <c r="BD42" s="30">
        <v>106.181149</v>
      </c>
      <c r="BE42" s="30">
        <v>363.79235499999999</v>
      </c>
      <c r="BF42" s="30">
        <v>307.71737300000001</v>
      </c>
      <c r="BG42" s="30">
        <v>343.81434400000001</v>
      </c>
      <c r="BH42" s="30">
        <v>163.99542199999999</v>
      </c>
      <c r="BI42" s="30">
        <v>395.788163</v>
      </c>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c r="DA42" s="30"/>
      <c r="DB42" s="30"/>
      <c r="DC42" s="30"/>
      <c r="DD42" s="30"/>
      <c r="DE42" s="30"/>
      <c r="DF42" s="30"/>
      <c r="DG42" s="30"/>
      <c r="DH42" s="30"/>
      <c r="DI42" s="30"/>
      <c r="DJ42" s="30"/>
    </row>
    <row r="43" spans="7:114">
      <c r="G43" s="42"/>
      <c r="H43" s="42"/>
      <c r="I43" s="42"/>
      <c r="J43" s="42" t="str">
        <f xml:space="preserve"> _xll.EPMOlapMemberO("[KEY_FIGURES].[].[ADJUSTEDACTUALSQTY]","","Actuals Qty Adj.","","000")</f>
        <v>Actuals Qty Adj.</v>
      </c>
      <c r="K43" s="62">
        <v>221</v>
      </c>
      <c r="L43" s="62">
        <v>240</v>
      </c>
      <c r="M43" s="62">
        <v>45</v>
      </c>
      <c r="N43" s="62">
        <v>465</v>
      </c>
      <c r="O43" s="62">
        <v>211</v>
      </c>
      <c r="P43" s="62">
        <v>308</v>
      </c>
      <c r="Q43" s="62">
        <v>293</v>
      </c>
      <c r="R43" s="62">
        <v>344</v>
      </c>
      <c r="S43" s="62">
        <v>381</v>
      </c>
      <c r="T43" s="62">
        <v>289</v>
      </c>
      <c r="U43" s="62">
        <v>156</v>
      </c>
      <c r="V43" s="62">
        <v>100</v>
      </c>
      <c r="W43" s="62">
        <v>235</v>
      </c>
      <c r="X43" s="62">
        <v>440</v>
      </c>
      <c r="Y43" s="62">
        <v>181</v>
      </c>
      <c r="Z43" s="62">
        <v>268</v>
      </c>
      <c r="AA43" s="62">
        <v>264</v>
      </c>
      <c r="AB43" s="62">
        <v>400</v>
      </c>
      <c r="AC43" s="62">
        <v>444</v>
      </c>
      <c r="AD43" s="62">
        <v>225</v>
      </c>
      <c r="AE43" s="62">
        <v>179</v>
      </c>
      <c r="AF43" s="62">
        <v>316</v>
      </c>
      <c r="AG43" s="62">
        <v>259</v>
      </c>
      <c r="AH43" s="62">
        <v>467</v>
      </c>
      <c r="AI43" s="62">
        <v>545</v>
      </c>
      <c r="AJ43" s="62">
        <v>261</v>
      </c>
      <c r="AK43" s="62">
        <v>332</v>
      </c>
      <c r="AL43" s="62">
        <v>357</v>
      </c>
      <c r="AM43" s="62">
        <v>280</v>
      </c>
      <c r="AN43" s="62">
        <v>364</v>
      </c>
      <c r="AO43" s="62">
        <v>211</v>
      </c>
      <c r="AP43" s="62">
        <v>209</v>
      </c>
      <c r="AQ43" s="62">
        <v>232</v>
      </c>
      <c r="AR43" s="62">
        <v>208</v>
      </c>
      <c r="AS43" s="62">
        <v>286</v>
      </c>
      <c r="AT43" s="62">
        <v>411</v>
      </c>
      <c r="AU43" s="62">
        <v>376</v>
      </c>
      <c r="AV43" s="62">
        <v>204</v>
      </c>
      <c r="AW43" s="62">
        <v>271</v>
      </c>
      <c r="AX43" s="62">
        <v>294</v>
      </c>
      <c r="AY43" s="62">
        <v>279</v>
      </c>
      <c r="AZ43" s="62">
        <v>367</v>
      </c>
      <c r="BA43" s="62">
        <v>404</v>
      </c>
      <c r="BB43" s="62">
        <v>152</v>
      </c>
      <c r="BC43" s="62">
        <v>340</v>
      </c>
      <c r="BD43" s="62">
        <v>112</v>
      </c>
      <c r="BE43" s="62">
        <v>419</v>
      </c>
      <c r="BF43" s="62">
        <v>340</v>
      </c>
      <c r="BG43" s="62">
        <v>358</v>
      </c>
      <c r="BH43" s="62">
        <v>136</v>
      </c>
      <c r="BI43" s="62">
        <v>379</v>
      </c>
      <c r="BJ43" s="62">
        <v>236</v>
      </c>
      <c r="BK43" s="62">
        <v>427</v>
      </c>
      <c r="BL43" s="62">
        <v>307</v>
      </c>
      <c r="BM43" s="62">
        <v>462</v>
      </c>
      <c r="BN43" s="62">
        <v>316</v>
      </c>
      <c r="BO43" s="62">
        <v>110</v>
      </c>
      <c r="BP43" s="62">
        <v>103</v>
      </c>
      <c r="BQ43" s="62">
        <v>190</v>
      </c>
      <c r="BR43" s="62">
        <v>288</v>
      </c>
      <c r="BS43" s="62">
        <v>0</v>
      </c>
      <c r="BT43" s="62"/>
      <c r="BU43" s="62"/>
      <c r="BV43" s="62"/>
      <c r="BW43" s="62"/>
      <c r="BX43" s="62"/>
      <c r="BY43" s="62"/>
      <c r="BZ43" s="62"/>
      <c r="CA43" s="62"/>
      <c r="CB43" s="62"/>
      <c r="CC43" s="62"/>
      <c r="CD43" s="62"/>
      <c r="CE43" s="62"/>
      <c r="CF43" s="62"/>
      <c r="CG43" s="62"/>
      <c r="CH43" s="62"/>
      <c r="CI43" s="62"/>
      <c r="CJ43" s="62"/>
      <c r="CK43" s="62"/>
      <c r="CL43" s="62"/>
      <c r="CM43" s="62"/>
      <c r="CN43" s="62"/>
      <c r="CO43" s="62"/>
      <c r="CP43" s="62"/>
      <c r="CQ43" s="62"/>
      <c r="CR43" s="62"/>
      <c r="CS43" s="62"/>
      <c r="CT43" s="62"/>
      <c r="CU43" s="62"/>
      <c r="CV43" s="62"/>
      <c r="CW43" s="62"/>
      <c r="CX43" s="62"/>
      <c r="CY43" s="62"/>
      <c r="CZ43" s="62"/>
      <c r="DA43" s="62"/>
      <c r="DB43" s="62"/>
      <c r="DC43" s="62"/>
      <c r="DD43" s="62"/>
      <c r="DE43" s="62"/>
      <c r="DF43" s="62"/>
      <c r="DG43" s="62"/>
      <c r="DH43" s="62"/>
      <c r="DI43" s="62"/>
      <c r="DJ43" s="62"/>
    </row>
    <row r="44" spans="7:114">
      <c r="G44" s="21"/>
      <c r="H44" s="21"/>
      <c r="I44" s="21"/>
      <c r="J44" s="21" t="str">
        <f xml:space="preserve"> _xll.EPMOlapMemberO("[KEY_FIGURES].[].[RESIDUALEXPOSTFCSTACTUALSADJ]","","Residuals Ex-Post Fcst - Actuals Qty Adj","","000")</f>
        <v>Residuals Ex-Post Fcst - Actuals Qty Adj</v>
      </c>
      <c r="K44" s="30">
        <v>5.0596000000000002E-2</v>
      </c>
      <c r="L44" s="30">
        <v>-17.849048</v>
      </c>
      <c r="M44" s="30">
        <v>-7.5959500000000002</v>
      </c>
      <c r="N44" s="30">
        <v>-2.082805</v>
      </c>
      <c r="O44" s="30">
        <v>4.1579090000000001</v>
      </c>
      <c r="P44" s="30">
        <v>-3.6060300000000001</v>
      </c>
      <c r="Q44" s="30">
        <v>-22.804714000000001</v>
      </c>
      <c r="R44" s="30">
        <v>-12.043620000000001</v>
      </c>
      <c r="S44" s="30">
        <v>-76.333014000000006</v>
      </c>
      <c r="T44" s="30">
        <v>-36.453423999999998</v>
      </c>
      <c r="U44" s="30">
        <v>-19.268453000000001</v>
      </c>
      <c r="V44" s="30">
        <v>-6.5957080000000001</v>
      </c>
      <c r="W44" s="30">
        <v>-21.288070999999999</v>
      </c>
      <c r="X44" s="30">
        <v>-8.7361450000000005</v>
      </c>
      <c r="Y44" s="30">
        <v>4.7107530000000004</v>
      </c>
      <c r="Z44" s="30">
        <v>1.7233130000000001</v>
      </c>
      <c r="AA44" s="30">
        <v>-31.268599999999999</v>
      </c>
      <c r="AB44" s="30">
        <v>-16.691334000000001</v>
      </c>
      <c r="AC44" s="30">
        <v>-16.181235999999998</v>
      </c>
      <c r="AD44" s="30">
        <v>17.665391</v>
      </c>
      <c r="AE44" s="30">
        <v>16.551258000000001</v>
      </c>
      <c r="AF44" s="30">
        <v>-77.701586000000006</v>
      </c>
      <c r="AG44" s="30">
        <v>-57.841878000000001</v>
      </c>
      <c r="AH44" s="30">
        <v>-125.454227</v>
      </c>
      <c r="AI44" s="30">
        <v>-6.9650800000000004</v>
      </c>
      <c r="AJ44" s="30">
        <v>-5.7103599999999997</v>
      </c>
      <c r="AK44" s="30">
        <v>-25.723852000000001</v>
      </c>
      <c r="AL44" s="30">
        <v>-11.460800000000001</v>
      </c>
      <c r="AM44" s="30">
        <v>-55.475414000000001</v>
      </c>
      <c r="AN44" s="30">
        <v>4.1867729999999996</v>
      </c>
      <c r="AO44" s="30">
        <v>-21.917496</v>
      </c>
      <c r="AP44" s="30">
        <v>24.268208999999999</v>
      </c>
      <c r="AQ44" s="30">
        <v>-10.317978</v>
      </c>
      <c r="AR44" s="30">
        <v>13.661530000000001</v>
      </c>
      <c r="AS44" s="30">
        <v>51.527844000000002</v>
      </c>
      <c r="AT44" s="30">
        <v>1.053887</v>
      </c>
      <c r="AU44" s="30">
        <v>-27.53876</v>
      </c>
      <c r="AV44" s="30">
        <v>34.369956000000002</v>
      </c>
      <c r="AW44" s="30">
        <v>-22.122406000000002</v>
      </c>
      <c r="AX44" s="30">
        <v>24.089665</v>
      </c>
      <c r="AY44" s="30">
        <v>23.232395</v>
      </c>
      <c r="AZ44" s="30">
        <v>-26.057147000000001</v>
      </c>
      <c r="BA44" s="30">
        <v>-4.1175899999999999</v>
      </c>
      <c r="BB44" s="30">
        <v>-1.1510940000000001</v>
      </c>
      <c r="BC44" s="30">
        <v>1.644282</v>
      </c>
      <c r="BD44" s="30">
        <v>-5.8188510000000004</v>
      </c>
      <c r="BE44" s="30">
        <v>-55.207644999999999</v>
      </c>
      <c r="BF44" s="30">
        <v>-32.282626999999998</v>
      </c>
      <c r="BG44" s="30">
        <v>-14.185656</v>
      </c>
      <c r="BH44" s="30">
        <v>27.995422000000001</v>
      </c>
      <c r="BI44" s="30">
        <v>16.788163000000001</v>
      </c>
      <c r="BJ44" s="30">
        <v>-236</v>
      </c>
      <c r="BK44" s="30">
        <v>-427</v>
      </c>
      <c r="BL44" s="30">
        <v>-307</v>
      </c>
      <c r="BM44" s="30">
        <v>-462</v>
      </c>
      <c r="BN44" s="30">
        <v>-316</v>
      </c>
      <c r="BO44" s="30">
        <v>-110</v>
      </c>
      <c r="BP44" s="30">
        <v>-103</v>
      </c>
      <c r="BQ44" s="30">
        <v>-190</v>
      </c>
      <c r="BR44" s="30">
        <v>-288</v>
      </c>
      <c r="BS44" s="30">
        <v>0</v>
      </c>
      <c r="BT44" s="30"/>
      <c r="BU44" s="30"/>
      <c r="BV44" s="30"/>
      <c r="BW44" s="30"/>
      <c r="BX44" s="30"/>
      <c r="BY44" s="30"/>
      <c r="BZ44" s="30"/>
      <c r="CA44" s="30"/>
      <c r="CB44" s="30"/>
      <c r="CC44" s="30"/>
      <c r="CD44" s="30"/>
      <c r="CE44" s="30"/>
      <c r="CF44" s="30"/>
      <c r="CG44" s="30"/>
      <c r="CH44" s="30"/>
      <c r="CI44" s="30"/>
      <c r="CJ44" s="30"/>
      <c r="CK44" s="30"/>
      <c r="CL44" s="30"/>
      <c r="CM44" s="30"/>
      <c r="CN44" s="30"/>
      <c r="CO44" s="30"/>
      <c r="CP44" s="30"/>
      <c r="CQ44" s="30"/>
      <c r="CR44" s="30"/>
      <c r="CS44" s="30"/>
      <c r="CT44" s="30"/>
      <c r="CU44" s="30"/>
      <c r="CV44" s="30"/>
      <c r="CW44" s="30"/>
      <c r="CX44" s="30"/>
      <c r="CY44" s="30"/>
      <c r="CZ44" s="30"/>
      <c r="DA44" s="30"/>
      <c r="DB44" s="30"/>
      <c r="DC44" s="30"/>
      <c r="DD44" s="30"/>
      <c r="DE44" s="30"/>
      <c r="DF44" s="30"/>
      <c r="DG44" s="30"/>
      <c r="DH44" s="30"/>
      <c r="DI44" s="30"/>
      <c r="DJ44" s="30"/>
    </row>
    <row r="45" spans="7:114">
      <c r="G45" s="21"/>
      <c r="H45" s="21"/>
      <c r="I45" s="21"/>
      <c r="J45" s="21" t="str">
        <f xml:space="preserve"> _xll.EPMOlapMemberO("[KEY_FIGURES].[].[STATISTICALFORECASTQTY]","","Statistical Fcst Qty","","000")</f>
        <v>Statistical Fcst Qty</v>
      </c>
      <c r="K45" s="30"/>
      <c r="L45" s="30"/>
      <c r="M45" s="30"/>
      <c r="N45" s="30"/>
      <c r="O45" s="30"/>
      <c r="P45" s="30"/>
      <c r="Q45" s="30"/>
      <c r="R45" s="30"/>
      <c r="S45" s="30"/>
      <c r="T45" s="30"/>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0"/>
      <c r="BJ45" s="30">
        <v>225.33012199999999</v>
      </c>
      <c r="BK45" s="30">
        <v>293.78042399999998</v>
      </c>
      <c r="BL45" s="30">
        <v>270.66612400000002</v>
      </c>
      <c r="BM45" s="30">
        <v>361.39953200000002</v>
      </c>
      <c r="BN45" s="30">
        <v>224.06973300000001</v>
      </c>
      <c r="BO45" s="30">
        <v>342.13294300000001</v>
      </c>
      <c r="BP45" s="30">
        <v>262.19375700000001</v>
      </c>
      <c r="BQ45" s="30">
        <v>503.570538</v>
      </c>
      <c r="BR45" s="30">
        <v>204.567767</v>
      </c>
      <c r="BS45" s="30">
        <v>126.93245400000001</v>
      </c>
      <c r="BT45" s="30">
        <v>190.73634999999999</v>
      </c>
      <c r="BU45" s="30">
        <v>447.35825499999999</v>
      </c>
      <c r="BV45" s="30">
        <v>157.94099299999999</v>
      </c>
      <c r="BW45" s="30">
        <v>231.57692599999999</v>
      </c>
      <c r="BX45" s="30">
        <v>122.46139599999999</v>
      </c>
      <c r="BY45" s="30">
        <v>438.76216199999999</v>
      </c>
      <c r="BZ45" s="30">
        <v>156.670084</v>
      </c>
      <c r="CA45" s="30">
        <v>290.77073799999999</v>
      </c>
      <c r="CB45" s="30">
        <v>199.960273</v>
      </c>
      <c r="CC45" s="30">
        <v>414.51181500000001</v>
      </c>
      <c r="CD45" s="30">
        <v>305.91761600000001</v>
      </c>
      <c r="CE45" s="30">
        <v>284.08040099999999</v>
      </c>
      <c r="CF45" s="30">
        <v>163.89490599999999</v>
      </c>
      <c r="CG45" s="30">
        <v>471.95135099999999</v>
      </c>
      <c r="CH45" s="30">
        <v>157.80299400000001</v>
      </c>
      <c r="CI45" s="30">
        <v>177.90098699999999</v>
      </c>
      <c r="CJ45" s="30">
        <v>282.96284700000001</v>
      </c>
      <c r="CK45" s="30">
        <v>458.79341299999999</v>
      </c>
      <c r="CL45" s="30">
        <v>174.91382899999999</v>
      </c>
      <c r="CM45" s="30">
        <v>269.357439</v>
      </c>
      <c r="CN45" s="30">
        <v>209.543871</v>
      </c>
      <c r="CO45" s="30">
        <v>427.88425999999998</v>
      </c>
      <c r="CP45" s="30">
        <v>194.62432000000001</v>
      </c>
      <c r="CQ45" s="30">
        <v>298.22155500000002</v>
      </c>
      <c r="CR45" s="30">
        <v>287.47092400000002</v>
      </c>
      <c r="CS45" s="30">
        <v>495.65906200000001</v>
      </c>
      <c r="CT45" s="30">
        <v>176.46660800000001</v>
      </c>
      <c r="CU45" s="30">
        <v>172.763935</v>
      </c>
      <c r="CV45" s="30">
        <v>251.826651</v>
      </c>
      <c r="CW45" s="30">
        <v>495.91270700000001</v>
      </c>
      <c r="CX45" s="30">
        <v>266.95567299999999</v>
      </c>
      <c r="CY45" s="30">
        <v>250.349085</v>
      </c>
      <c r="CZ45" s="30">
        <v>164.79357200000001</v>
      </c>
      <c r="DA45" s="30">
        <v>427.01246700000002</v>
      </c>
      <c r="DB45" s="30">
        <v>239.34865600000001</v>
      </c>
      <c r="DC45" s="30">
        <v>171.06440599999999</v>
      </c>
      <c r="DD45" s="30">
        <v>224.58406400000001</v>
      </c>
      <c r="DE45" s="30">
        <v>419.55012499999998</v>
      </c>
      <c r="DF45" s="30">
        <v>112.95863300000001</v>
      </c>
      <c r="DG45" s="30">
        <v>99.317288000000005</v>
      </c>
      <c r="DH45" s="30">
        <v>261.50129299999998</v>
      </c>
      <c r="DI45" s="30">
        <v>378.74697700000002</v>
      </c>
      <c r="DJ45" s="30"/>
    </row>
    <row r="46" spans="7:114">
      <c r="G46" s="21"/>
      <c r="H46" s="21" t="str">
        <f xml:space="preserve"> _xll.EPMOlapMemberO("[LOCID].[].[6210]","","6210","","000")</f>
        <v>6210</v>
      </c>
      <c r="I46" s="21" t="str">
        <f xml:space="preserve"> _xll.EPMOlapMemberO("[CUSTID].[].[0013100001]","","0013100001","","000")</f>
        <v>0013100001</v>
      </c>
      <c r="J46" s="21" t="str">
        <f xml:space="preserve"> _xll.EPMOlapMemberO("[KEY_FIGURES].[].[STATISTICALEXPOSTFORECASTQTY]","","Ex-Post Fcst Qty","","000")</f>
        <v>Ex-Post Fcst Qty</v>
      </c>
      <c r="K46" s="30">
        <v>232.78209200000001</v>
      </c>
      <c r="L46" s="30">
        <v>242.45384200000001</v>
      </c>
      <c r="M46" s="30">
        <v>304.891257</v>
      </c>
      <c r="N46" s="30">
        <v>251.02562</v>
      </c>
      <c r="O46" s="30">
        <v>356.28855600000003</v>
      </c>
      <c r="P46" s="30">
        <v>279.79660799999999</v>
      </c>
      <c r="Q46" s="30">
        <v>228.64755400000001</v>
      </c>
      <c r="R46" s="30">
        <v>229.04907499999999</v>
      </c>
      <c r="S46" s="30">
        <v>203.30488</v>
      </c>
      <c r="T46" s="30">
        <v>113.87313399999999</v>
      </c>
      <c r="U46" s="30">
        <v>181.560924</v>
      </c>
      <c r="V46" s="30">
        <v>250.68361300000001</v>
      </c>
      <c r="W46" s="30">
        <v>123.29495900000001</v>
      </c>
      <c r="X46" s="30">
        <v>332.981067</v>
      </c>
      <c r="Y46" s="30">
        <v>215.495239</v>
      </c>
      <c r="Z46" s="30">
        <v>395.59754400000003</v>
      </c>
      <c r="AA46" s="30">
        <v>362.83566400000001</v>
      </c>
      <c r="AB46" s="30">
        <v>165.05567600000001</v>
      </c>
      <c r="AC46" s="30">
        <v>197.15102099999999</v>
      </c>
      <c r="AD46" s="30">
        <v>344.57910700000002</v>
      </c>
      <c r="AE46" s="30">
        <v>187.329444</v>
      </c>
      <c r="AF46" s="30">
        <v>255.698701</v>
      </c>
      <c r="AG46" s="30">
        <v>89.317581000000004</v>
      </c>
      <c r="AH46" s="30">
        <v>72.471480999999997</v>
      </c>
      <c r="AI46" s="30">
        <v>309.88413000000003</v>
      </c>
      <c r="AJ46" s="30">
        <v>271.062297</v>
      </c>
      <c r="AK46" s="30">
        <v>219.80015599999999</v>
      </c>
      <c r="AL46" s="30">
        <v>159.73040599999999</v>
      </c>
      <c r="AM46" s="30">
        <v>194.864137</v>
      </c>
      <c r="AN46" s="30">
        <v>233.27099000000001</v>
      </c>
      <c r="AO46" s="30">
        <v>181.090574</v>
      </c>
      <c r="AP46" s="30">
        <v>223.54004</v>
      </c>
      <c r="AQ46" s="30">
        <v>163.88232400000001</v>
      </c>
      <c r="AR46" s="30">
        <v>308.15158200000002</v>
      </c>
      <c r="AS46" s="30">
        <v>268.03866699999998</v>
      </c>
      <c r="AT46" s="30">
        <v>270.00555700000001</v>
      </c>
      <c r="AU46" s="30">
        <v>211.863754</v>
      </c>
      <c r="AV46" s="30">
        <v>343.120091</v>
      </c>
      <c r="AW46" s="30">
        <v>283.54199399999999</v>
      </c>
      <c r="AX46" s="30">
        <v>149.557278</v>
      </c>
      <c r="AY46" s="30">
        <v>88.226701000000006</v>
      </c>
      <c r="AZ46" s="30">
        <v>199.104085</v>
      </c>
      <c r="BA46" s="30">
        <v>127.817027</v>
      </c>
      <c r="BB46" s="30">
        <v>261.46707700000002</v>
      </c>
      <c r="BC46" s="30">
        <v>348.48332900000003</v>
      </c>
      <c r="BD46" s="30">
        <v>138.531958</v>
      </c>
      <c r="BE46" s="30">
        <v>179.296537</v>
      </c>
      <c r="BF46" s="30">
        <v>181.905967</v>
      </c>
      <c r="BG46" s="30">
        <v>401.87307499999997</v>
      </c>
      <c r="BH46" s="30">
        <v>208.39001999999999</v>
      </c>
      <c r="BI46" s="30">
        <v>310.87480299999999</v>
      </c>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c r="DA46" s="30"/>
      <c r="DB46" s="30"/>
      <c r="DC46" s="30"/>
      <c r="DD46" s="30"/>
      <c r="DE46" s="30"/>
      <c r="DF46" s="30"/>
      <c r="DG46" s="30"/>
      <c r="DH46" s="30"/>
      <c r="DI46" s="30"/>
      <c r="DJ46" s="30"/>
    </row>
    <row r="47" spans="7:114">
      <c r="G47" s="42"/>
      <c r="H47" s="42"/>
      <c r="I47" s="42"/>
      <c r="J47" s="42" t="str">
        <f xml:space="preserve"> _xll.EPMOlapMemberO("[KEY_FIGURES].[].[ADJUSTEDACTUALSQTY]","","Actuals Qty Adj.","","000")</f>
        <v>Actuals Qty Adj.</v>
      </c>
      <c r="K47" s="62">
        <v>223</v>
      </c>
      <c r="L47" s="62">
        <v>308</v>
      </c>
      <c r="M47" s="62">
        <v>302</v>
      </c>
      <c r="N47" s="62">
        <v>230</v>
      </c>
      <c r="O47" s="62">
        <v>383</v>
      </c>
      <c r="P47" s="62">
        <v>279</v>
      </c>
      <c r="Q47" s="62">
        <v>271</v>
      </c>
      <c r="R47" s="62">
        <v>266</v>
      </c>
      <c r="S47" s="62">
        <v>242</v>
      </c>
      <c r="T47" s="62">
        <v>124</v>
      </c>
      <c r="U47" s="62">
        <v>163</v>
      </c>
      <c r="V47" s="62">
        <v>336</v>
      </c>
      <c r="W47" s="62">
        <v>107</v>
      </c>
      <c r="X47" s="62">
        <v>355</v>
      </c>
      <c r="Y47" s="62">
        <v>173</v>
      </c>
      <c r="Z47" s="62">
        <v>394</v>
      </c>
      <c r="AA47" s="62">
        <v>404</v>
      </c>
      <c r="AB47" s="62">
        <v>163</v>
      </c>
      <c r="AC47" s="62">
        <v>171</v>
      </c>
      <c r="AD47" s="62">
        <v>350</v>
      </c>
      <c r="AE47" s="62">
        <v>191</v>
      </c>
      <c r="AF47" s="62">
        <v>272</v>
      </c>
      <c r="AG47" s="62">
        <v>80</v>
      </c>
      <c r="AH47" s="62">
        <v>90</v>
      </c>
      <c r="AI47" s="62">
        <v>319</v>
      </c>
      <c r="AJ47" s="62">
        <v>267</v>
      </c>
      <c r="AK47" s="62">
        <v>218</v>
      </c>
      <c r="AL47" s="62">
        <v>186</v>
      </c>
      <c r="AM47" s="62">
        <v>191</v>
      </c>
      <c r="AN47" s="62">
        <v>233</v>
      </c>
      <c r="AO47" s="62">
        <v>217</v>
      </c>
      <c r="AP47" s="62">
        <v>219</v>
      </c>
      <c r="AQ47" s="62">
        <v>202</v>
      </c>
      <c r="AR47" s="62">
        <v>322</v>
      </c>
      <c r="AS47" s="62">
        <v>277</v>
      </c>
      <c r="AT47" s="62">
        <v>282</v>
      </c>
      <c r="AU47" s="62">
        <v>215</v>
      </c>
      <c r="AV47" s="62">
        <v>344</v>
      </c>
      <c r="AW47" s="62">
        <v>286</v>
      </c>
      <c r="AX47" s="62">
        <v>157</v>
      </c>
      <c r="AY47" s="62">
        <v>87</v>
      </c>
      <c r="AZ47" s="62">
        <v>197</v>
      </c>
      <c r="BA47" s="62">
        <v>120</v>
      </c>
      <c r="BB47" s="62">
        <v>255</v>
      </c>
      <c r="BC47" s="62">
        <v>352</v>
      </c>
      <c r="BD47" s="62">
        <v>136</v>
      </c>
      <c r="BE47" s="62">
        <v>196</v>
      </c>
      <c r="BF47" s="62">
        <v>179</v>
      </c>
      <c r="BG47" s="62">
        <v>400</v>
      </c>
      <c r="BH47" s="62">
        <v>191</v>
      </c>
      <c r="BI47" s="62">
        <v>339</v>
      </c>
      <c r="BJ47" s="62">
        <v>155</v>
      </c>
      <c r="BK47" s="62">
        <v>217</v>
      </c>
      <c r="BL47" s="62">
        <v>236</v>
      </c>
      <c r="BM47" s="62">
        <v>128</v>
      </c>
      <c r="BN47" s="62">
        <v>379</v>
      </c>
      <c r="BO47" s="62">
        <v>221</v>
      </c>
      <c r="BP47" s="62">
        <v>165</v>
      </c>
      <c r="BQ47" s="62">
        <v>208</v>
      </c>
      <c r="BR47" s="62">
        <v>238</v>
      </c>
      <c r="BS47" s="62">
        <v>150</v>
      </c>
      <c r="BT47" s="62"/>
      <c r="BU47" s="62"/>
      <c r="BV47" s="62"/>
      <c r="BW47" s="62"/>
      <c r="BX47" s="62"/>
      <c r="BY47" s="62"/>
      <c r="BZ47" s="62"/>
      <c r="CA47" s="62"/>
      <c r="CB47" s="62"/>
      <c r="CC47" s="62"/>
      <c r="CD47" s="62"/>
      <c r="CE47" s="62"/>
      <c r="CF47" s="62"/>
      <c r="CG47" s="62"/>
      <c r="CH47" s="62"/>
      <c r="CI47" s="62"/>
      <c r="CJ47" s="62"/>
      <c r="CK47" s="62"/>
      <c r="CL47" s="62"/>
      <c r="CM47" s="62"/>
      <c r="CN47" s="62"/>
      <c r="CO47" s="62"/>
      <c r="CP47" s="62"/>
      <c r="CQ47" s="62"/>
      <c r="CR47" s="62"/>
      <c r="CS47" s="62"/>
      <c r="CT47" s="62"/>
      <c r="CU47" s="62"/>
      <c r="CV47" s="62"/>
      <c r="CW47" s="62"/>
      <c r="CX47" s="62"/>
      <c r="CY47" s="62"/>
      <c r="CZ47" s="62"/>
      <c r="DA47" s="62"/>
      <c r="DB47" s="62"/>
      <c r="DC47" s="62"/>
      <c r="DD47" s="62"/>
      <c r="DE47" s="62"/>
      <c r="DF47" s="62"/>
      <c r="DG47" s="62"/>
      <c r="DH47" s="62"/>
      <c r="DI47" s="62"/>
      <c r="DJ47" s="62"/>
    </row>
    <row r="48" spans="7:114">
      <c r="G48" s="21"/>
      <c r="H48" s="21"/>
      <c r="I48" s="21"/>
      <c r="J48" s="21" t="str">
        <f xml:space="preserve"> _xll.EPMOlapMemberO("[KEY_FIGURES].[].[RESIDUALEXPOSTFCSTACTUALSADJ]","","Residuals Ex-Post Fcst - Actuals Qty Adj","","000")</f>
        <v>Residuals Ex-Post Fcst - Actuals Qty Adj</v>
      </c>
      <c r="K48" s="30">
        <v>9.7820920000000005</v>
      </c>
      <c r="L48" s="30">
        <v>-65.546158000000005</v>
      </c>
      <c r="M48" s="30">
        <v>2.891257</v>
      </c>
      <c r="N48" s="30">
        <v>21.02562</v>
      </c>
      <c r="O48" s="30">
        <v>-26.711444</v>
      </c>
      <c r="P48" s="30">
        <v>0.79660799999999998</v>
      </c>
      <c r="Q48" s="30">
        <v>-42.352446</v>
      </c>
      <c r="R48" s="30">
        <v>-36.950924999999998</v>
      </c>
      <c r="S48" s="30">
        <v>-38.695120000000003</v>
      </c>
      <c r="T48" s="30">
        <v>-10.126866</v>
      </c>
      <c r="U48" s="30">
        <v>18.560924</v>
      </c>
      <c r="V48" s="30">
        <v>-85.316387000000006</v>
      </c>
      <c r="W48" s="30">
        <v>16.294958999999999</v>
      </c>
      <c r="X48" s="30">
        <v>-22.018933000000001</v>
      </c>
      <c r="Y48" s="30">
        <v>42.495238999999998</v>
      </c>
      <c r="Z48" s="30">
        <v>1.5975440000000001</v>
      </c>
      <c r="AA48" s="30">
        <v>-41.164335999999999</v>
      </c>
      <c r="AB48" s="30">
        <v>2.0556760000000001</v>
      </c>
      <c r="AC48" s="30">
        <v>26.151021</v>
      </c>
      <c r="AD48" s="30">
        <v>-5.4208930000000004</v>
      </c>
      <c r="AE48" s="30">
        <v>-3.6705559999999999</v>
      </c>
      <c r="AF48" s="30">
        <v>-16.301299</v>
      </c>
      <c r="AG48" s="30">
        <v>9.3175810000000006</v>
      </c>
      <c r="AH48" s="30">
        <v>-17.528518999999999</v>
      </c>
      <c r="AI48" s="30">
        <v>-9.1158699999999993</v>
      </c>
      <c r="AJ48" s="30">
        <v>4.062297</v>
      </c>
      <c r="AK48" s="30">
        <v>1.8001560000000001</v>
      </c>
      <c r="AL48" s="30">
        <v>-26.269594000000001</v>
      </c>
      <c r="AM48" s="30">
        <v>3.8641369999999999</v>
      </c>
      <c r="AN48" s="30">
        <v>0.27099000000000001</v>
      </c>
      <c r="AO48" s="30">
        <v>-35.909426000000003</v>
      </c>
      <c r="AP48" s="30">
        <v>4.5400400000000003</v>
      </c>
      <c r="AQ48" s="30">
        <v>-38.117676000000003</v>
      </c>
      <c r="AR48" s="30">
        <v>-13.848418000000001</v>
      </c>
      <c r="AS48" s="30">
        <v>-8.9613329999999998</v>
      </c>
      <c r="AT48" s="30">
        <v>-11.994443</v>
      </c>
      <c r="AU48" s="30">
        <v>-3.1362459999999999</v>
      </c>
      <c r="AV48" s="30">
        <v>-0.87990900000000005</v>
      </c>
      <c r="AW48" s="30">
        <v>-2.4580060000000001</v>
      </c>
      <c r="AX48" s="30">
        <v>-7.4427219999999998</v>
      </c>
      <c r="AY48" s="30">
        <v>1.226701</v>
      </c>
      <c r="AZ48" s="30">
        <v>2.104085</v>
      </c>
      <c r="BA48" s="30">
        <v>7.8170270000000004</v>
      </c>
      <c r="BB48" s="30">
        <v>6.4670769999999997</v>
      </c>
      <c r="BC48" s="30">
        <v>-3.5166710000000001</v>
      </c>
      <c r="BD48" s="30">
        <v>2.5319579999999999</v>
      </c>
      <c r="BE48" s="30">
        <v>-16.703462999999999</v>
      </c>
      <c r="BF48" s="30">
        <v>2.905967</v>
      </c>
      <c r="BG48" s="30">
        <v>1.873075</v>
      </c>
      <c r="BH48" s="30">
        <v>17.39002</v>
      </c>
      <c r="BI48" s="30">
        <v>-28.125197</v>
      </c>
      <c r="BJ48" s="30">
        <v>-155</v>
      </c>
      <c r="BK48" s="30">
        <v>-217</v>
      </c>
      <c r="BL48" s="30">
        <v>-236</v>
      </c>
      <c r="BM48" s="30">
        <v>-128</v>
      </c>
      <c r="BN48" s="30">
        <v>-379</v>
      </c>
      <c r="BO48" s="30">
        <v>-221</v>
      </c>
      <c r="BP48" s="30">
        <v>-165</v>
      </c>
      <c r="BQ48" s="30">
        <v>-208</v>
      </c>
      <c r="BR48" s="30">
        <v>-238</v>
      </c>
      <c r="BS48" s="30">
        <v>-150</v>
      </c>
      <c r="BT48" s="30"/>
      <c r="BU48" s="30"/>
      <c r="BV48" s="30"/>
      <c r="BW48" s="30"/>
      <c r="BX48" s="30"/>
      <c r="BY48" s="30"/>
      <c r="BZ48" s="30"/>
      <c r="CA48" s="30"/>
      <c r="CB48" s="30"/>
      <c r="CC48" s="30"/>
      <c r="CD48" s="30"/>
      <c r="CE48" s="30"/>
      <c r="CF48" s="30"/>
      <c r="CG48" s="30"/>
      <c r="CH48" s="30"/>
      <c r="CI48" s="30"/>
      <c r="CJ48" s="30"/>
      <c r="CK48" s="30"/>
      <c r="CL48" s="30"/>
      <c r="CM48" s="30"/>
      <c r="CN48" s="30"/>
      <c r="CO48" s="30"/>
      <c r="CP48" s="30"/>
      <c r="CQ48" s="30"/>
      <c r="CR48" s="30"/>
      <c r="CS48" s="30"/>
      <c r="CT48" s="30"/>
      <c r="CU48" s="30"/>
      <c r="CV48" s="30"/>
      <c r="CW48" s="30"/>
      <c r="CX48" s="30"/>
      <c r="CY48" s="30"/>
      <c r="CZ48" s="30"/>
      <c r="DA48" s="30"/>
      <c r="DB48" s="30"/>
      <c r="DC48" s="30"/>
      <c r="DD48" s="30"/>
      <c r="DE48" s="30"/>
      <c r="DF48" s="30"/>
      <c r="DG48" s="30"/>
      <c r="DH48" s="30"/>
      <c r="DI48" s="30"/>
      <c r="DJ48" s="30"/>
    </row>
    <row r="49" spans="7:114">
      <c r="G49" s="21"/>
      <c r="H49" s="21"/>
      <c r="I49" s="21"/>
      <c r="J49" s="21" t="str">
        <f xml:space="preserve"> _xll.EPMOlapMemberO("[KEY_FIGURES].[].[STATISTICALFORECASTQTY]","","Statistical Fcst Qty","","000")</f>
        <v>Statistical Fcst Qty</v>
      </c>
      <c r="K49" s="30"/>
      <c r="L49" s="30"/>
      <c r="M49" s="30"/>
      <c r="N49" s="30"/>
      <c r="O49" s="30"/>
      <c r="P49" s="30"/>
      <c r="Q49" s="30"/>
      <c r="R49" s="30"/>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0"/>
      <c r="BJ49" s="30">
        <v>268.48216600000001</v>
      </c>
      <c r="BK49" s="30">
        <v>225.269001</v>
      </c>
      <c r="BL49" s="30">
        <v>200.50050999999999</v>
      </c>
      <c r="BM49" s="30">
        <v>285.63561099999998</v>
      </c>
      <c r="BN49" s="30">
        <v>251.09502000000001</v>
      </c>
      <c r="BO49" s="30">
        <v>213.01023599999999</v>
      </c>
      <c r="BP49" s="30">
        <v>209.158477</v>
      </c>
      <c r="BQ49" s="30">
        <v>271.22991999999999</v>
      </c>
      <c r="BR49" s="30">
        <v>233.379626</v>
      </c>
      <c r="BS49" s="30">
        <v>389.25364500000001</v>
      </c>
      <c r="BT49" s="30">
        <v>278.45827100000002</v>
      </c>
      <c r="BU49" s="30">
        <v>260.67788000000002</v>
      </c>
      <c r="BV49" s="30">
        <v>279.05925400000001</v>
      </c>
      <c r="BW49" s="30">
        <v>224.609103</v>
      </c>
      <c r="BX49" s="30">
        <v>236.00937400000001</v>
      </c>
      <c r="BY49" s="30">
        <v>192.41839400000001</v>
      </c>
      <c r="BZ49" s="30">
        <v>222.99001100000001</v>
      </c>
      <c r="CA49" s="30">
        <v>202.03840600000001</v>
      </c>
      <c r="CB49" s="30">
        <v>184.39289199999999</v>
      </c>
      <c r="CC49" s="30">
        <v>224.11079599999999</v>
      </c>
      <c r="CD49" s="30">
        <v>329.72770100000002</v>
      </c>
      <c r="CE49" s="30">
        <v>200.76359600000001</v>
      </c>
      <c r="CF49" s="30">
        <v>221.317499</v>
      </c>
      <c r="CG49" s="30">
        <v>246.703506</v>
      </c>
      <c r="CH49" s="30">
        <v>285.77729900000003</v>
      </c>
      <c r="CI49" s="30">
        <v>247.43232699999999</v>
      </c>
      <c r="CJ49" s="30">
        <v>278.93742200000003</v>
      </c>
      <c r="CK49" s="30">
        <v>166.803697</v>
      </c>
      <c r="CL49" s="30">
        <v>229.00039599999999</v>
      </c>
      <c r="CM49" s="30">
        <v>207.677977</v>
      </c>
      <c r="CN49" s="30">
        <v>283.988204</v>
      </c>
      <c r="CO49" s="30">
        <v>232.37101799999999</v>
      </c>
      <c r="CP49" s="30">
        <v>208.36922000000001</v>
      </c>
      <c r="CQ49" s="30">
        <v>192.041022</v>
      </c>
      <c r="CR49" s="30">
        <v>270.72032000000002</v>
      </c>
      <c r="CS49" s="30">
        <v>272.102822</v>
      </c>
      <c r="CT49" s="30">
        <v>308.81365</v>
      </c>
      <c r="CU49" s="30">
        <v>285.15987100000001</v>
      </c>
      <c r="CV49" s="30">
        <v>252.269284</v>
      </c>
      <c r="CW49" s="30">
        <v>240.36362600000001</v>
      </c>
      <c r="CX49" s="30">
        <v>209.246467</v>
      </c>
      <c r="CY49" s="30">
        <v>232.03863100000001</v>
      </c>
      <c r="CZ49" s="30">
        <v>265.71813500000002</v>
      </c>
      <c r="DA49" s="30">
        <v>271.61102799999998</v>
      </c>
      <c r="DB49" s="30">
        <v>241.075514</v>
      </c>
      <c r="DC49" s="30">
        <v>235.77689000000001</v>
      </c>
      <c r="DD49" s="30">
        <v>229.72924900000001</v>
      </c>
      <c r="DE49" s="30">
        <v>234.948823</v>
      </c>
      <c r="DF49" s="30">
        <v>135.88248100000001</v>
      </c>
      <c r="DG49" s="30">
        <v>105.03828</v>
      </c>
      <c r="DH49" s="30">
        <v>156.55545499999999</v>
      </c>
      <c r="DI49" s="30">
        <v>136.13571400000001</v>
      </c>
      <c r="DJ49" s="30"/>
    </row>
    <row r="50" spans="7:114">
      <c r="G50" s="21" t="str">
        <f xml:space="preserve"> _xll.EPMOlapMemberO("[PRDID].[].[IBP-310]","","IBP-310","","000")</f>
        <v>IBP-310</v>
      </c>
      <c r="H50" s="21" t="str">
        <f xml:space="preserve"> _xll.EPMOlapMemberO("[LOCID].[].[1720]","","1720","","000")</f>
        <v>1720</v>
      </c>
      <c r="I50" s="21" t="str">
        <f xml:space="preserve"> _xll.EPMOlapMemberO("[CUSTID].[].[0017100003]","","0017100003","","000")</f>
        <v>0017100003</v>
      </c>
      <c r="J50" s="21" t="str">
        <f xml:space="preserve"> _xll.EPMOlapMemberO("[KEY_FIGURES].[].[STATISTICALEXPOSTFORECASTQTY]","","Ex-Post Fcst Qty","","000")</f>
        <v>Ex-Post Fcst Qty</v>
      </c>
      <c r="K50" s="30">
        <v>375.69673499999999</v>
      </c>
      <c r="L50" s="30">
        <v>378.14887800000002</v>
      </c>
      <c r="M50" s="30">
        <v>380.60102000000001</v>
      </c>
      <c r="N50" s="30">
        <v>383.05316199999999</v>
      </c>
      <c r="O50" s="30">
        <v>385.50530500000002</v>
      </c>
      <c r="P50" s="30">
        <v>387.957447</v>
      </c>
      <c r="Q50" s="30">
        <v>390.40958899999998</v>
      </c>
      <c r="R50" s="30">
        <v>392.86173200000002</v>
      </c>
      <c r="S50" s="30">
        <v>395.313874</v>
      </c>
      <c r="T50" s="30">
        <v>397.76601699999998</v>
      </c>
      <c r="U50" s="30">
        <v>400.21815900000001</v>
      </c>
      <c r="V50" s="30">
        <v>402.67030099999999</v>
      </c>
      <c r="W50" s="30">
        <v>405.12244399999997</v>
      </c>
      <c r="X50" s="30">
        <v>407.57458600000001</v>
      </c>
      <c r="Y50" s="30">
        <v>410.02672799999999</v>
      </c>
      <c r="Z50" s="30">
        <v>412.47887100000003</v>
      </c>
      <c r="AA50" s="30">
        <v>414.93101300000001</v>
      </c>
      <c r="AB50" s="30">
        <v>417.38315599999999</v>
      </c>
      <c r="AC50" s="30">
        <v>419.83529800000002</v>
      </c>
      <c r="AD50" s="30">
        <v>422.28744</v>
      </c>
      <c r="AE50" s="30">
        <v>424.73958299999998</v>
      </c>
      <c r="AF50" s="30">
        <v>427.19172500000002</v>
      </c>
      <c r="AG50" s="30">
        <v>429.643867</v>
      </c>
      <c r="AH50" s="30">
        <v>432.09600999999998</v>
      </c>
      <c r="AI50" s="30">
        <v>434.54815200000002</v>
      </c>
      <c r="AJ50" s="30">
        <v>437.00029499999999</v>
      </c>
      <c r="AK50" s="30">
        <v>439.45243699999997</v>
      </c>
      <c r="AL50" s="30">
        <v>441.90457900000001</v>
      </c>
      <c r="AM50" s="30">
        <v>444.35672199999999</v>
      </c>
      <c r="AN50" s="30">
        <v>446.80886400000003</v>
      </c>
      <c r="AO50" s="30">
        <v>449.26100600000001</v>
      </c>
      <c r="AP50" s="30">
        <v>451.71314899999999</v>
      </c>
      <c r="AQ50" s="30">
        <v>454.16529100000002</v>
      </c>
      <c r="AR50" s="30">
        <v>456.617434</v>
      </c>
      <c r="AS50" s="30">
        <v>459.06957599999998</v>
      </c>
      <c r="AT50" s="30">
        <v>461.52171800000002</v>
      </c>
      <c r="AU50" s="30">
        <v>463.973861</v>
      </c>
      <c r="AV50" s="30">
        <v>466.42600299999998</v>
      </c>
      <c r="AW50" s="30">
        <v>468.87814500000002</v>
      </c>
      <c r="AX50" s="30">
        <v>471.330288</v>
      </c>
      <c r="AY50" s="30">
        <v>473.78242999999998</v>
      </c>
      <c r="AZ50" s="30">
        <v>476.23457200000001</v>
      </c>
      <c r="BA50" s="30">
        <v>478.68671499999999</v>
      </c>
      <c r="BB50" s="30">
        <v>481.13885699999997</v>
      </c>
      <c r="BC50" s="30">
        <v>483.59100000000001</v>
      </c>
      <c r="BD50" s="30">
        <v>486.04314199999999</v>
      </c>
      <c r="BE50" s="30">
        <v>488.49528400000003</v>
      </c>
      <c r="BF50" s="30">
        <v>490.947427</v>
      </c>
      <c r="BG50" s="30">
        <v>493.39956899999999</v>
      </c>
      <c r="BH50" s="30">
        <v>495.85171100000002</v>
      </c>
      <c r="BI50" s="30">
        <v>498.303854</v>
      </c>
      <c r="BJ50" s="30"/>
      <c r="BK50" s="30"/>
      <c r="BL50" s="30"/>
      <c r="BM50" s="30"/>
      <c r="BN50" s="30"/>
      <c r="BO50" s="30"/>
      <c r="BP50" s="30"/>
      <c r="BQ50" s="30"/>
      <c r="BR50" s="30"/>
      <c r="BS50" s="30"/>
      <c r="BT50" s="30"/>
      <c r="BU50" s="30"/>
      <c r="BV50" s="30"/>
      <c r="BW50" s="30"/>
      <c r="BX50" s="30"/>
      <c r="BY50" s="30"/>
      <c r="BZ50" s="30"/>
      <c r="CA50" s="30"/>
      <c r="CB50" s="30"/>
      <c r="CC50" s="30"/>
      <c r="CD50" s="30"/>
      <c r="CE50" s="30"/>
      <c r="CF50" s="30"/>
      <c r="CG50" s="30"/>
      <c r="CH50" s="30"/>
      <c r="CI50" s="30"/>
      <c r="CJ50" s="30"/>
      <c r="CK50" s="30"/>
      <c r="CL50" s="30"/>
      <c r="CM50" s="30"/>
      <c r="CN50" s="30"/>
      <c r="CO50" s="30"/>
      <c r="CP50" s="30"/>
      <c r="CQ50" s="30"/>
      <c r="CR50" s="30"/>
      <c r="CS50" s="30"/>
      <c r="CT50" s="30"/>
      <c r="CU50" s="30"/>
      <c r="CV50" s="30"/>
      <c r="CW50" s="30"/>
      <c r="CX50" s="30"/>
      <c r="CY50" s="30"/>
      <c r="CZ50" s="30"/>
      <c r="DA50" s="30"/>
      <c r="DB50" s="30"/>
      <c r="DC50" s="30"/>
      <c r="DD50" s="30"/>
      <c r="DE50" s="30"/>
      <c r="DF50" s="30"/>
      <c r="DG50" s="30"/>
      <c r="DH50" s="30"/>
      <c r="DI50" s="30"/>
      <c r="DJ50" s="30"/>
    </row>
    <row r="51" spans="7:114">
      <c r="G51" s="42"/>
      <c r="H51" s="42"/>
      <c r="I51" s="42"/>
      <c r="J51" s="42" t="str">
        <f xml:space="preserve"> _xll.EPMOlapMemberO("[KEY_FIGURES].[].[ADJUSTEDACTUALSQTY]","","Actuals Qty Adj.","","000")</f>
        <v>Actuals Qty Adj.</v>
      </c>
      <c r="K51" s="62">
        <v>395</v>
      </c>
      <c r="L51" s="62">
        <v>383</v>
      </c>
      <c r="M51" s="62">
        <v>364</v>
      </c>
      <c r="N51" s="62">
        <v>384</v>
      </c>
      <c r="O51" s="62">
        <v>380</v>
      </c>
      <c r="P51" s="62">
        <v>383</v>
      </c>
      <c r="Q51" s="62">
        <v>395</v>
      </c>
      <c r="R51" s="62">
        <v>387</v>
      </c>
      <c r="S51" s="62">
        <v>393</v>
      </c>
      <c r="T51" s="62">
        <v>380</v>
      </c>
      <c r="U51" s="62">
        <v>370</v>
      </c>
      <c r="V51" s="62">
        <v>386</v>
      </c>
      <c r="W51" s="62">
        <v>392</v>
      </c>
      <c r="X51" s="62">
        <v>440</v>
      </c>
      <c r="Y51" s="62">
        <v>415</v>
      </c>
      <c r="Z51" s="62">
        <v>414</v>
      </c>
      <c r="AA51" s="62">
        <v>417</v>
      </c>
      <c r="AB51" s="62">
        <v>410</v>
      </c>
      <c r="AC51" s="62">
        <v>440</v>
      </c>
      <c r="AD51" s="62">
        <v>425</v>
      </c>
      <c r="AE51" s="62">
        <v>432</v>
      </c>
      <c r="AF51" s="62">
        <v>442</v>
      </c>
      <c r="AG51" s="62">
        <v>414</v>
      </c>
      <c r="AH51" s="62">
        <v>439</v>
      </c>
      <c r="AI51" s="62">
        <v>430</v>
      </c>
      <c r="AJ51" s="62">
        <v>440</v>
      </c>
      <c r="AK51" s="62">
        <v>438</v>
      </c>
      <c r="AL51" s="62">
        <v>441</v>
      </c>
      <c r="AM51" s="62">
        <v>431</v>
      </c>
      <c r="AN51" s="62">
        <v>462</v>
      </c>
      <c r="AO51" s="62">
        <v>449</v>
      </c>
      <c r="AP51" s="62">
        <v>438</v>
      </c>
      <c r="AQ51" s="62">
        <v>457</v>
      </c>
      <c r="AR51" s="62">
        <v>443</v>
      </c>
      <c r="AS51" s="62">
        <v>477</v>
      </c>
      <c r="AT51" s="62">
        <v>471</v>
      </c>
      <c r="AU51" s="62">
        <v>469</v>
      </c>
      <c r="AV51" s="62">
        <v>472</v>
      </c>
      <c r="AW51" s="62">
        <v>470</v>
      </c>
      <c r="AX51" s="62">
        <v>462</v>
      </c>
      <c r="AY51" s="62">
        <v>481</v>
      </c>
      <c r="AZ51" s="62">
        <v>507</v>
      </c>
      <c r="BA51" s="62">
        <v>504</v>
      </c>
      <c r="BB51" s="62">
        <v>469</v>
      </c>
      <c r="BC51" s="62">
        <v>479</v>
      </c>
      <c r="BD51" s="62">
        <v>479</v>
      </c>
      <c r="BE51" s="62">
        <v>473</v>
      </c>
      <c r="BF51" s="62">
        <v>495</v>
      </c>
      <c r="BG51" s="62">
        <v>515</v>
      </c>
      <c r="BH51" s="62">
        <v>498</v>
      </c>
      <c r="BI51" s="62">
        <v>514</v>
      </c>
      <c r="BJ51" s="62">
        <v>510</v>
      </c>
      <c r="BK51" s="62">
        <v>497</v>
      </c>
      <c r="BL51" s="62">
        <v>527</v>
      </c>
      <c r="BM51" s="62">
        <v>514</v>
      </c>
      <c r="BN51" s="62">
        <v>530</v>
      </c>
      <c r="BO51" s="62">
        <v>507</v>
      </c>
      <c r="BP51" s="62">
        <v>507</v>
      </c>
      <c r="BQ51" s="62">
        <v>513</v>
      </c>
      <c r="BR51" s="62">
        <v>530</v>
      </c>
      <c r="BS51" s="62">
        <v>215</v>
      </c>
      <c r="BT51" s="62"/>
      <c r="BU51" s="62"/>
      <c r="BV51" s="62"/>
      <c r="BW51" s="62"/>
      <c r="BX51" s="62"/>
      <c r="BY51" s="62"/>
      <c r="BZ51" s="62"/>
      <c r="CA51" s="62"/>
      <c r="CB51" s="62"/>
      <c r="CC51" s="62"/>
      <c r="CD51" s="62"/>
      <c r="CE51" s="62"/>
      <c r="CF51" s="62"/>
      <c r="CG51" s="62"/>
      <c r="CH51" s="62"/>
      <c r="CI51" s="62"/>
      <c r="CJ51" s="62"/>
      <c r="CK51" s="62"/>
      <c r="CL51" s="62"/>
      <c r="CM51" s="62"/>
      <c r="CN51" s="62"/>
      <c r="CO51" s="62"/>
      <c r="CP51" s="62"/>
      <c r="CQ51" s="62"/>
      <c r="CR51" s="62"/>
      <c r="CS51" s="62"/>
      <c r="CT51" s="62"/>
      <c r="CU51" s="62"/>
      <c r="CV51" s="62"/>
      <c r="CW51" s="62"/>
      <c r="CX51" s="62"/>
      <c r="CY51" s="62"/>
      <c r="CZ51" s="62"/>
      <c r="DA51" s="62"/>
      <c r="DB51" s="62"/>
      <c r="DC51" s="62"/>
      <c r="DD51" s="62"/>
      <c r="DE51" s="62"/>
      <c r="DF51" s="62"/>
      <c r="DG51" s="62"/>
      <c r="DH51" s="62"/>
      <c r="DI51" s="62"/>
      <c r="DJ51" s="62"/>
    </row>
    <row r="52" spans="7:114">
      <c r="G52" s="21"/>
      <c r="H52" s="21"/>
      <c r="I52" s="21"/>
      <c r="J52" s="21" t="str">
        <f xml:space="preserve"> _xll.EPMOlapMemberO("[KEY_FIGURES].[].[RESIDUALEXPOSTFCSTACTUALSADJ]","","Residuals Ex-Post Fcst - Actuals Qty Adj","","000")</f>
        <v>Residuals Ex-Post Fcst - Actuals Qty Adj</v>
      </c>
      <c r="K52" s="30">
        <v>-19.303265</v>
      </c>
      <c r="L52" s="30">
        <v>-4.8511220000000002</v>
      </c>
      <c r="M52" s="30">
        <v>16.601019999999998</v>
      </c>
      <c r="N52" s="30">
        <v>-0.94683799999999996</v>
      </c>
      <c r="O52" s="30">
        <v>5.5053049999999999</v>
      </c>
      <c r="P52" s="30">
        <v>4.9574470000000002</v>
      </c>
      <c r="Q52" s="30">
        <v>-4.5904109999999996</v>
      </c>
      <c r="R52" s="30">
        <v>5.8617319999999999</v>
      </c>
      <c r="S52" s="30">
        <v>2.3138740000000002</v>
      </c>
      <c r="T52" s="30">
        <v>17.766017000000002</v>
      </c>
      <c r="U52" s="30">
        <v>30.218159</v>
      </c>
      <c r="V52" s="30">
        <v>16.670300999999998</v>
      </c>
      <c r="W52" s="30">
        <v>13.122444</v>
      </c>
      <c r="X52" s="30">
        <v>-32.425414000000004</v>
      </c>
      <c r="Y52" s="30">
        <v>-4.9732719999999997</v>
      </c>
      <c r="Z52" s="30">
        <v>-1.521129</v>
      </c>
      <c r="AA52" s="30">
        <v>-2.0689869999999999</v>
      </c>
      <c r="AB52" s="30">
        <v>7.3831559999999996</v>
      </c>
      <c r="AC52" s="30">
        <v>-20.164701999999998</v>
      </c>
      <c r="AD52" s="30">
        <v>-2.7125599999999999</v>
      </c>
      <c r="AE52" s="30">
        <v>-7.2604170000000003</v>
      </c>
      <c r="AF52" s="30">
        <v>-14.808275</v>
      </c>
      <c r="AG52" s="30">
        <v>15.643867</v>
      </c>
      <c r="AH52" s="30">
        <v>-6.9039900000000003</v>
      </c>
      <c r="AI52" s="30">
        <v>4.548152</v>
      </c>
      <c r="AJ52" s="30">
        <v>-2.9997050000000001</v>
      </c>
      <c r="AK52" s="30">
        <v>1.452437</v>
      </c>
      <c r="AL52" s="30">
        <v>0.90457900000000002</v>
      </c>
      <c r="AM52" s="30">
        <v>13.356722</v>
      </c>
      <c r="AN52" s="30">
        <v>-15.191136</v>
      </c>
      <c r="AO52" s="30">
        <v>0.26100600000000002</v>
      </c>
      <c r="AP52" s="30">
        <v>13.713149</v>
      </c>
      <c r="AQ52" s="30">
        <v>-2.8347090000000001</v>
      </c>
      <c r="AR52" s="30">
        <v>13.617433999999999</v>
      </c>
      <c r="AS52" s="30">
        <v>-17.930423999999999</v>
      </c>
      <c r="AT52" s="30">
        <v>-9.4782820000000001</v>
      </c>
      <c r="AU52" s="30">
        <v>-5.0261389999999997</v>
      </c>
      <c r="AV52" s="30">
        <v>-5.5739970000000003</v>
      </c>
      <c r="AW52" s="30">
        <v>-1.121855</v>
      </c>
      <c r="AX52" s="30">
        <v>9.3302879999999995</v>
      </c>
      <c r="AY52" s="30">
        <v>-7.2175700000000003</v>
      </c>
      <c r="AZ52" s="30">
        <v>-30.765428</v>
      </c>
      <c r="BA52" s="30">
        <v>-25.313285</v>
      </c>
      <c r="BB52" s="30">
        <v>12.138857</v>
      </c>
      <c r="BC52" s="30">
        <v>4.5910000000000002</v>
      </c>
      <c r="BD52" s="30">
        <v>7.0431419999999996</v>
      </c>
      <c r="BE52" s="30">
        <v>15.495284</v>
      </c>
      <c r="BF52" s="30">
        <v>-4.0525729999999998</v>
      </c>
      <c r="BG52" s="30">
        <v>-21.600431</v>
      </c>
      <c r="BH52" s="30">
        <v>-2.1482890000000001</v>
      </c>
      <c r="BI52" s="30">
        <v>-15.696146000000001</v>
      </c>
      <c r="BJ52" s="30">
        <v>-510</v>
      </c>
      <c r="BK52" s="30">
        <v>-497</v>
      </c>
      <c r="BL52" s="30">
        <v>-527</v>
      </c>
      <c r="BM52" s="30">
        <v>-514</v>
      </c>
      <c r="BN52" s="30">
        <v>-530</v>
      </c>
      <c r="BO52" s="30">
        <v>-507</v>
      </c>
      <c r="BP52" s="30">
        <v>-507</v>
      </c>
      <c r="BQ52" s="30">
        <v>-513</v>
      </c>
      <c r="BR52" s="30">
        <v>-530</v>
      </c>
      <c r="BS52" s="30">
        <v>-215</v>
      </c>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row>
    <row r="53" spans="7:114">
      <c r="G53" s="21"/>
      <c r="H53" s="21"/>
      <c r="I53" s="21"/>
      <c r="J53" s="21" t="str">
        <f xml:space="preserve"> _xll.EPMOlapMemberO("[KEY_FIGURES].[].[STATISTICALFORECASTQTY]","","Statistical Fcst Qty","","000")</f>
        <v>Statistical Fcst Qty</v>
      </c>
      <c r="K53" s="30"/>
      <c r="L53" s="30"/>
      <c r="M53" s="30"/>
      <c r="N53" s="30"/>
      <c r="O53" s="30"/>
      <c r="P53" s="30"/>
      <c r="Q53" s="30"/>
      <c r="R53" s="30"/>
      <c r="S53" s="30"/>
      <c r="T53" s="30"/>
      <c r="U53" s="30"/>
      <c r="V53" s="30"/>
      <c r="W53" s="30"/>
      <c r="X53" s="30"/>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0"/>
      <c r="BJ53" s="30">
        <v>500.75599599999998</v>
      </c>
      <c r="BK53" s="30">
        <v>503.20813900000002</v>
      </c>
      <c r="BL53" s="30">
        <v>505.660281</v>
      </c>
      <c r="BM53" s="30">
        <v>508.11242299999998</v>
      </c>
      <c r="BN53" s="30">
        <v>510.56456600000001</v>
      </c>
      <c r="BO53" s="30">
        <v>513.01670799999999</v>
      </c>
      <c r="BP53" s="30">
        <v>515.46884999999997</v>
      </c>
      <c r="BQ53" s="30">
        <v>517.92099299999995</v>
      </c>
      <c r="BR53" s="30">
        <v>520.37313500000005</v>
      </c>
      <c r="BS53" s="30">
        <v>522.82527800000003</v>
      </c>
      <c r="BT53" s="30">
        <v>525.27742000000001</v>
      </c>
      <c r="BU53" s="30">
        <v>527.72956199999999</v>
      </c>
      <c r="BV53" s="30">
        <v>530.18170499999997</v>
      </c>
      <c r="BW53" s="30">
        <v>532.63384699999995</v>
      </c>
      <c r="BX53" s="30">
        <v>535.08598900000004</v>
      </c>
      <c r="BY53" s="30">
        <v>537.53813200000002</v>
      </c>
      <c r="BZ53" s="30">
        <v>539.990274</v>
      </c>
      <c r="CA53" s="30">
        <v>542.44241699999998</v>
      </c>
      <c r="CB53" s="30">
        <v>544.89455899999996</v>
      </c>
      <c r="CC53" s="30">
        <v>547.34670100000005</v>
      </c>
      <c r="CD53" s="30">
        <v>549.79884400000003</v>
      </c>
      <c r="CE53" s="30">
        <v>552.25098600000001</v>
      </c>
      <c r="CF53" s="30">
        <v>554.70312799999999</v>
      </c>
      <c r="CG53" s="30">
        <v>557.15527099999997</v>
      </c>
      <c r="CH53" s="30">
        <v>559.60741299999995</v>
      </c>
      <c r="CI53" s="30">
        <v>562.05955500000005</v>
      </c>
      <c r="CJ53" s="30">
        <v>564.51169800000002</v>
      </c>
      <c r="CK53" s="30">
        <v>566.96384</v>
      </c>
      <c r="CL53" s="30">
        <v>569.41598299999998</v>
      </c>
      <c r="CM53" s="30">
        <v>571.86812499999996</v>
      </c>
      <c r="CN53" s="30">
        <v>574.32026699999994</v>
      </c>
      <c r="CO53" s="30">
        <v>576.77241000000004</v>
      </c>
      <c r="CP53" s="30">
        <v>579.22455200000002</v>
      </c>
      <c r="CQ53" s="30">
        <v>581.676694</v>
      </c>
      <c r="CR53" s="30">
        <v>584.12883699999998</v>
      </c>
      <c r="CS53" s="30">
        <v>586.58097899999996</v>
      </c>
      <c r="CT53" s="30">
        <v>589.03312200000005</v>
      </c>
      <c r="CU53" s="30">
        <v>591.48526400000003</v>
      </c>
      <c r="CV53" s="30">
        <v>593.93740600000001</v>
      </c>
      <c r="CW53" s="30">
        <v>596.38954899999999</v>
      </c>
      <c r="CX53" s="30">
        <v>598.84169099999997</v>
      </c>
      <c r="CY53" s="30">
        <v>601.29383299999995</v>
      </c>
      <c r="CZ53" s="30">
        <v>603.74597600000004</v>
      </c>
      <c r="DA53" s="30">
        <v>606.19811800000002</v>
      </c>
      <c r="DB53" s="30">
        <v>608.650261</v>
      </c>
      <c r="DC53" s="30">
        <v>611.10240299999998</v>
      </c>
      <c r="DD53" s="30">
        <v>613.55454499999996</v>
      </c>
      <c r="DE53" s="30">
        <v>616.00668800000005</v>
      </c>
      <c r="DF53" s="30">
        <v>618.45883000000003</v>
      </c>
      <c r="DG53" s="30">
        <v>620.91097200000002</v>
      </c>
      <c r="DH53" s="30">
        <v>623.36311499999999</v>
      </c>
      <c r="DI53" s="30">
        <v>625.81525699999997</v>
      </c>
      <c r="DJ53" s="30"/>
    </row>
    <row r="54" spans="7:114">
      <c r="G54" s="21"/>
      <c r="H54" s="21" t="str">
        <f xml:space="preserve"> _xll.EPMOlapMemberO("[LOCID].[].[3710]","","3710","","000")</f>
        <v>3710</v>
      </c>
      <c r="I54" s="21" t="str">
        <f xml:space="preserve"> _xll.EPMOlapMemberO("[CUSTID].[].[0011100001]","","0011100001","","000")</f>
        <v>0011100001</v>
      </c>
      <c r="J54" s="21" t="str">
        <f xml:space="preserve"> _xll.EPMOlapMemberO("[KEY_FIGURES].[].[STATISTICALEXPOSTFORECASTQTY]","","Ex-Post Fcst Qty","","000")</f>
        <v>Ex-Post Fcst Qty</v>
      </c>
      <c r="K54" s="30">
        <v>633.79186400000003</v>
      </c>
      <c r="L54" s="30">
        <v>638.66828899999996</v>
      </c>
      <c r="M54" s="30">
        <v>643.544714</v>
      </c>
      <c r="N54" s="30">
        <v>648.42114000000004</v>
      </c>
      <c r="O54" s="30">
        <v>653.29756499999996</v>
      </c>
      <c r="P54" s="30">
        <v>658.17399</v>
      </c>
      <c r="Q54" s="30">
        <v>663.05041500000004</v>
      </c>
      <c r="R54" s="30">
        <v>667.92683999999997</v>
      </c>
      <c r="S54" s="30">
        <v>672.80326600000001</v>
      </c>
      <c r="T54" s="30">
        <v>677.67969100000005</v>
      </c>
      <c r="U54" s="30">
        <v>682.55611599999997</v>
      </c>
      <c r="V54" s="30">
        <v>687.43254100000001</v>
      </c>
      <c r="W54" s="30">
        <v>692.30896700000005</v>
      </c>
      <c r="X54" s="30">
        <v>697.18539199999998</v>
      </c>
      <c r="Y54" s="30">
        <v>702.06181700000002</v>
      </c>
      <c r="Z54" s="30">
        <v>706.93824199999995</v>
      </c>
      <c r="AA54" s="30">
        <v>711.81466699999999</v>
      </c>
      <c r="AB54" s="30">
        <v>716.69109300000002</v>
      </c>
      <c r="AC54" s="30">
        <v>721.56751799999995</v>
      </c>
      <c r="AD54" s="30">
        <v>726.44394299999999</v>
      </c>
      <c r="AE54" s="30">
        <v>731.32036800000003</v>
      </c>
      <c r="AF54" s="30">
        <v>736.19679399999995</v>
      </c>
      <c r="AG54" s="30">
        <v>741.07321899999999</v>
      </c>
      <c r="AH54" s="30">
        <v>745.94964400000003</v>
      </c>
      <c r="AI54" s="30">
        <v>750.82606899999996</v>
      </c>
      <c r="AJ54" s="30">
        <v>755.702494</v>
      </c>
      <c r="AK54" s="30">
        <v>760.57892000000004</v>
      </c>
      <c r="AL54" s="30">
        <v>765.45534499999997</v>
      </c>
      <c r="AM54" s="30">
        <v>770.33177000000001</v>
      </c>
      <c r="AN54" s="30">
        <v>775.20819500000005</v>
      </c>
      <c r="AO54" s="30">
        <v>780.08461999999997</v>
      </c>
      <c r="AP54" s="30">
        <v>784.96104600000001</v>
      </c>
      <c r="AQ54" s="30">
        <v>789.83747100000005</v>
      </c>
      <c r="AR54" s="30">
        <v>794.71389599999998</v>
      </c>
      <c r="AS54" s="30">
        <v>799.59032100000002</v>
      </c>
      <c r="AT54" s="30">
        <v>804.46674700000005</v>
      </c>
      <c r="AU54" s="30">
        <v>809.34317199999998</v>
      </c>
      <c r="AV54" s="30">
        <v>814.21959700000002</v>
      </c>
      <c r="AW54" s="30">
        <v>819.09602199999995</v>
      </c>
      <c r="AX54" s="30">
        <v>823.97244699999999</v>
      </c>
      <c r="AY54" s="30">
        <v>828.84887300000003</v>
      </c>
      <c r="AZ54" s="30">
        <v>833.72529799999995</v>
      </c>
      <c r="BA54" s="30">
        <v>838.60172299999999</v>
      </c>
      <c r="BB54" s="30">
        <v>843.47814800000003</v>
      </c>
      <c r="BC54" s="30">
        <v>848.35457399999996</v>
      </c>
      <c r="BD54" s="30">
        <v>853.230999</v>
      </c>
      <c r="BE54" s="30">
        <v>858.10742400000004</v>
      </c>
      <c r="BF54" s="30">
        <v>862.98384899999996</v>
      </c>
      <c r="BG54" s="30">
        <v>867.860274</v>
      </c>
      <c r="BH54" s="30">
        <v>872.73670000000004</v>
      </c>
      <c r="BI54" s="30">
        <v>877.61312499999997</v>
      </c>
      <c r="BJ54" s="30"/>
      <c r="BK54" s="30"/>
      <c r="BL54" s="30"/>
      <c r="BM54" s="30"/>
      <c r="BN54" s="30"/>
      <c r="BO54" s="30"/>
      <c r="BP54" s="30"/>
      <c r="BQ54" s="30"/>
      <c r="BR54" s="30"/>
      <c r="BS54" s="30"/>
      <c r="BT54" s="30"/>
      <c r="BU54" s="30"/>
      <c r="BV54" s="30"/>
      <c r="BW54" s="30"/>
      <c r="BX54" s="30"/>
      <c r="BY54" s="30"/>
      <c r="BZ54" s="30"/>
      <c r="CA54" s="30"/>
      <c r="CB54" s="30"/>
      <c r="CC54" s="30"/>
      <c r="CD54" s="30"/>
      <c r="CE54" s="30"/>
      <c r="CF54" s="30"/>
      <c r="CG54" s="30"/>
      <c r="CH54" s="30"/>
      <c r="CI54" s="30"/>
      <c r="CJ54" s="30"/>
      <c r="CK54" s="30"/>
      <c r="CL54" s="30"/>
      <c r="CM54" s="30"/>
      <c r="CN54" s="30"/>
      <c r="CO54" s="30"/>
      <c r="CP54" s="30"/>
      <c r="CQ54" s="30"/>
      <c r="CR54" s="30"/>
      <c r="CS54" s="30"/>
      <c r="CT54" s="30"/>
      <c r="CU54" s="30"/>
      <c r="CV54" s="30"/>
      <c r="CW54" s="30"/>
      <c r="CX54" s="30"/>
      <c r="CY54" s="30"/>
      <c r="CZ54" s="30"/>
      <c r="DA54" s="30"/>
      <c r="DB54" s="30"/>
      <c r="DC54" s="30"/>
      <c r="DD54" s="30"/>
      <c r="DE54" s="30"/>
      <c r="DF54" s="30"/>
      <c r="DG54" s="30"/>
      <c r="DH54" s="30"/>
      <c r="DI54" s="30"/>
      <c r="DJ54" s="30"/>
    </row>
    <row r="55" spans="7:114">
      <c r="G55" s="42"/>
      <c r="H55" s="42"/>
      <c r="I55" s="42"/>
      <c r="J55" s="42" t="str">
        <f xml:space="preserve"> _xll.EPMOlapMemberO("[KEY_FIGURES].[].[ADJUSTEDACTUALSQTY]","","Actuals Qty Adj.","","000")</f>
        <v>Actuals Qty Adj.</v>
      </c>
      <c r="K55" s="62">
        <v>629</v>
      </c>
      <c r="L55" s="62">
        <v>663</v>
      </c>
      <c r="M55" s="62">
        <v>649</v>
      </c>
      <c r="N55" s="62">
        <v>613</v>
      </c>
      <c r="O55" s="62">
        <v>627</v>
      </c>
      <c r="P55" s="62">
        <v>670</v>
      </c>
      <c r="Q55" s="62">
        <v>675</v>
      </c>
      <c r="R55" s="62">
        <v>717</v>
      </c>
      <c r="S55" s="62">
        <v>656</v>
      </c>
      <c r="T55" s="62">
        <v>661</v>
      </c>
      <c r="U55" s="62">
        <v>669</v>
      </c>
      <c r="V55" s="62">
        <v>689</v>
      </c>
      <c r="W55" s="62">
        <v>702</v>
      </c>
      <c r="X55" s="62">
        <v>683</v>
      </c>
      <c r="Y55" s="62">
        <v>710</v>
      </c>
      <c r="Z55" s="62">
        <v>698</v>
      </c>
      <c r="AA55" s="62">
        <v>753</v>
      </c>
      <c r="AB55" s="62">
        <v>743</v>
      </c>
      <c r="AC55" s="62">
        <v>731</v>
      </c>
      <c r="AD55" s="62">
        <v>729</v>
      </c>
      <c r="AE55" s="62">
        <v>733</v>
      </c>
      <c r="AF55" s="62">
        <v>711</v>
      </c>
      <c r="AG55" s="62">
        <v>740</v>
      </c>
      <c r="AH55" s="62">
        <v>719</v>
      </c>
      <c r="AI55" s="62">
        <v>739</v>
      </c>
      <c r="AJ55" s="62">
        <v>736</v>
      </c>
      <c r="AK55" s="62">
        <v>786</v>
      </c>
      <c r="AL55" s="62">
        <v>743</v>
      </c>
      <c r="AM55" s="62">
        <v>790</v>
      </c>
      <c r="AN55" s="62">
        <v>790</v>
      </c>
      <c r="AO55" s="62">
        <v>774</v>
      </c>
      <c r="AP55" s="62">
        <v>792</v>
      </c>
      <c r="AQ55" s="62">
        <v>778</v>
      </c>
      <c r="AR55" s="62">
        <v>816</v>
      </c>
      <c r="AS55" s="62">
        <v>796</v>
      </c>
      <c r="AT55" s="62">
        <v>821</v>
      </c>
      <c r="AU55" s="62">
        <v>829</v>
      </c>
      <c r="AV55" s="62">
        <v>813</v>
      </c>
      <c r="AW55" s="62">
        <v>807</v>
      </c>
      <c r="AX55" s="62">
        <v>833</v>
      </c>
      <c r="AY55" s="62">
        <v>811</v>
      </c>
      <c r="AZ55" s="62">
        <v>820</v>
      </c>
      <c r="BA55" s="62">
        <v>819</v>
      </c>
      <c r="BB55" s="62">
        <v>831</v>
      </c>
      <c r="BC55" s="62">
        <v>846</v>
      </c>
      <c r="BD55" s="62">
        <v>855</v>
      </c>
      <c r="BE55" s="62">
        <v>836</v>
      </c>
      <c r="BF55" s="62">
        <v>909</v>
      </c>
      <c r="BG55" s="62">
        <v>857</v>
      </c>
      <c r="BH55" s="62">
        <v>862</v>
      </c>
      <c r="BI55" s="62">
        <v>895</v>
      </c>
      <c r="BJ55" s="62">
        <v>891</v>
      </c>
      <c r="BK55" s="62">
        <v>871</v>
      </c>
      <c r="BL55" s="62">
        <v>890</v>
      </c>
      <c r="BM55" s="62">
        <v>904</v>
      </c>
      <c r="BN55" s="62">
        <v>880</v>
      </c>
      <c r="BO55" s="62">
        <v>921</v>
      </c>
      <c r="BP55" s="62">
        <v>878</v>
      </c>
      <c r="BQ55" s="62">
        <v>913</v>
      </c>
      <c r="BR55" s="62">
        <v>916</v>
      </c>
      <c r="BS55" s="62">
        <v>406</v>
      </c>
      <c r="BT55" s="62"/>
      <c r="BU55" s="62"/>
      <c r="BV55" s="62"/>
      <c r="BW55" s="62"/>
      <c r="BX55" s="62"/>
      <c r="BY55" s="62"/>
      <c r="BZ55" s="62"/>
      <c r="CA55" s="62"/>
      <c r="CB55" s="62"/>
      <c r="CC55" s="62"/>
      <c r="CD55" s="62"/>
      <c r="CE55" s="62"/>
      <c r="CF55" s="62"/>
      <c r="CG55" s="62"/>
      <c r="CH55" s="62"/>
      <c r="CI55" s="62"/>
      <c r="CJ55" s="62"/>
      <c r="CK55" s="62"/>
      <c r="CL55" s="62"/>
      <c r="CM55" s="62"/>
      <c r="CN55" s="62"/>
      <c r="CO55" s="62"/>
      <c r="CP55" s="62"/>
      <c r="CQ55" s="62"/>
      <c r="CR55" s="62"/>
      <c r="CS55" s="62"/>
      <c r="CT55" s="62"/>
      <c r="CU55" s="62"/>
      <c r="CV55" s="62"/>
      <c r="CW55" s="62"/>
      <c r="CX55" s="62"/>
      <c r="CY55" s="62"/>
      <c r="CZ55" s="62"/>
      <c r="DA55" s="62"/>
      <c r="DB55" s="62"/>
      <c r="DC55" s="62"/>
      <c r="DD55" s="62"/>
      <c r="DE55" s="62"/>
      <c r="DF55" s="62"/>
      <c r="DG55" s="62"/>
      <c r="DH55" s="62"/>
      <c r="DI55" s="62"/>
      <c r="DJ55" s="62"/>
    </row>
    <row r="56" spans="7:114">
      <c r="G56" s="21"/>
      <c r="H56" s="21"/>
      <c r="I56" s="21"/>
      <c r="J56" s="21" t="str">
        <f xml:space="preserve"> _xll.EPMOlapMemberO("[KEY_FIGURES].[].[RESIDUALEXPOSTFCSTACTUALSADJ]","","Residuals Ex-Post Fcst - Actuals Qty Adj","","000")</f>
        <v>Residuals Ex-Post Fcst - Actuals Qty Adj</v>
      </c>
      <c r="K56" s="30">
        <v>4.7918640000000003</v>
      </c>
      <c r="L56" s="30">
        <v>-24.331710999999999</v>
      </c>
      <c r="M56" s="30">
        <v>-5.4552860000000001</v>
      </c>
      <c r="N56" s="30">
        <v>35.421140000000001</v>
      </c>
      <c r="O56" s="30">
        <v>26.297564999999999</v>
      </c>
      <c r="P56" s="30">
        <v>-11.82601</v>
      </c>
      <c r="Q56" s="30">
        <v>-11.949585000000001</v>
      </c>
      <c r="R56" s="30">
        <v>-49.073160000000001</v>
      </c>
      <c r="S56" s="30">
        <v>16.803266000000001</v>
      </c>
      <c r="T56" s="30">
        <v>16.679690999999998</v>
      </c>
      <c r="U56" s="30">
        <v>13.556115999999999</v>
      </c>
      <c r="V56" s="30">
        <v>-1.5674589999999999</v>
      </c>
      <c r="W56" s="30">
        <v>-9.6910329999999991</v>
      </c>
      <c r="X56" s="30">
        <v>14.185392</v>
      </c>
      <c r="Y56" s="30">
        <v>-7.9381830000000004</v>
      </c>
      <c r="Z56" s="30">
        <v>8.9382420000000007</v>
      </c>
      <c r="AA56" s="30">
        <v>-41.185333</v>
      </c>
      <c r="AB56" s="30">
        <v>-26.308907000000001</v>
      </c>
      <c r="AC56" s="30">
        <v>-9.4324820000000003</v>
      </c>
      <c r="AD56" s="30">
        <v>-2.556057</v>
      </c>
      <c r="AE56" s="30">
        <v>-1.679632</v>
      </c>
      <c r="AF56" s="30">
        <v>25.196794000000001</v>
      </c>
      <c r="AG56" s="30">
        <v>1.0732189999999999</v>
      </c>
      <c r="AH56" s="30">
        <v>26.949643999999999</v>
      </c>
      <c r="AI56" s="30">
        <v>11.826069</v>
      </c>
      <c r="AJ56" s="30">
        <v>19.702494000000002</v>
      </c>
      <c r="AK56" s="30">
        <v>-25.42108</v>
      </c>
      <c r="AL56" s="30">
        <v>22.455345000000001</v>
      </c>
      <c r="AM56" s="30">
        <v>-19.668230000000001</v>
      </c>
      <c r="AN56" s="30">
        <v>-14.791805</v>
      </c>
      <c r="AO56" s="30">
        <v>6.0846200000000001</v>
      </c>
      <c r="AP56" s="30">
        <v>-7.0389540000000004</v>
      </c>
      <c r="AQ56" s="30">
        <v>11.837471000000001</v>
      </c>
      <c r="AR56" s="30">
        <v>-21.286104000000002</v>
      </c>
      <c r="AS56" s="30">
        <v>3.5903209999999999</v>
      </c>
      <c r="AT56" s="30">
        <v>-16.533252999999998</v>
      </c>
      <c r="AU56" s="30">
        <v>-19.656828000000001</v>
      </c>
      <c r="AV56" s="30">
        <v>1.219597</v>
      </c>
      <c r="AW56" s="30">
        <v>12.096022</v>
      </c>
      <c r="AX56" s="30">
        <v>-9.0275529999999993</v>
      </c>
      <c r="AY56" s="30">
        <v>17.848873000000001</v>
      </c>
      <c r="AZ56" s="30">
        <v>13.725298</v>
      </c>
      <c r="BA56" s="30">
        <v>19.601723</v>
      </c>
      <c r="BB56" s="30">
        <v>12.478147999999999</v>
      </c>
      <c r="BC56" s="30">
        <v>2.3545739999999999</v>
      </c>
      <c r="BD56" s="30">
        <v>-1.769001</v>
      </c>
      <c r="BE56" s="30">
        <v>22.107424000000002</v>
      </c>
      <c r="BF56" s="30">
        <v>-46.016151000000001</v>
      </c>
      <c r="BG56" s="30">
        <v>10.860274</v>
      </c>
      <c r="BH56" s="30">
        <v>10.736700000000001</v>
      </c>
      <c r="BI56" s="30">
        <v>-17.386875</v>
      </c>
      <c r="BJ56" s="30">
        <v>-891</v>
      </c>
      <c r="BK56" s="30">
        <v>-871</v>
      </c>
      <c r="BL56" s="30">
        <v>-890</v>
      </c>
      <c r="BM56" s="30">
        <v>-904</v>
      </c>
      <c r="BN56" s="30">
        <v>-880</v>
      </c>
      <c r="BO56" s="30">
        <v>-921</v>
      </c>
      <c r="BP56" s="30">
        <v>-878</v>
      </c>
      <c r="BQ56" s="30">
        <v>-913</v>
      </c>
      <c r="BR56" s="30">
        <v>-916</v>
      </c>
      <c r="BS56" s="30">
        <v>-406</v>
      </c>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row>
    <row r="57" spans="7:114">
      <c r="G57" s="21"/>
      <c r="H57" s="21"/>
      <c r="I57" s="21"/>
      <c r="J57" s="21" t="str">
        <f xml:space="preserve"> _xll.EPMOlapMemberO("[KEY_FIGURES].[].[STATISTICALFORECASTQTY]","","Statistical Fcst Qty","","000")</f>
        <v>Statistical Fcst Qty</v>
      </c>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v>882.48955000000001</v>
      </c>
      <c r="BK57" s="30">
        <v>887.36597500000005</v>
      </c>
      <c r="BL57" s="30">
        <v>892.24240099999997</v>
      </c>
      <c r="BM57" s="30">
        <v>897.11882600000001</v>
      </c>
      <c r="BN57" s="30">
        <v>901.99525100000005</v>
      </c>
      <c r="BO57" s="30">
        <v>906.87167599999998</v>
      </c>
      <c r="BP57" s="30">
        <v>911.74810100000002</v>
      </c>
      <c r="BQ57" s="30">
        <v>916.62452699999994</v>
      </c>
      <c r="BR57" s="30">
        <v>921.50095199999998</v>
      </c>
      <c r="BS57" s="30">
        <v>926.37737700000002</v>
      </c>
      <c r="BT57" s="30">
        <v>931.25380199999995</v>
      </c>
      <c r="BU57" s="30">
        <v>936.13022699999999</v>
      </c>
      <c r="BV57" s="30">
        <v>941.00665300000003</v>
      </c>
      <c r="BW57" s="30">
        <v>945.88307799999995</v>
      </c>
      <c r="BX57" s="30">
        <v>950.759503</v>
      </c>
      <c r="BY57" s="30">
        <v>955.63592800000004</v>
      </c>
      <c r="BZ57" s="30">
        <v>960.51235399999996</v>
      </c>
      <c r="CA57" s="30">
        <v>965.388779</v>
      </c>
      <c r="CB57" s="30">
        <v>970.26520400000004</v>
      </c>
      <c r="CC57" s="30">
        <v>975.14162899999997</v>
      </c>
      <c r="CD57" s="30">
        <v>980.01805400000001</v>
      </c>
      <c r="CE57" s="30">
        <v>984.89448000000004</v>
      </c>
      <c r="CF57" s="30">
        <v>989.77090499999997</v>
      </c>
      <c r="CG57" s="30">
        <v>994.64733000000001</v>
      </c>
      <c r="CH57" s="30">
        <v>999.52375500000005</v>
      </c>
      <c r="CI57" s="30">
        <v>1004.400181</v>
      </c>
      <c r="CJ57" s="30">
        <v>1009.276606</v>
      </c>
      <c r="CK57" s="30">
        <v>1014.1530310000001</v>
      </c>
      <c r="CL57" s="30">
        <v>1019.029456</v>
      </c>
      <c r="CM57" s="30">
        <v>1023.905881</v>
      </c>
      <c r="CN57" s="30">
        <v>1028.7823069999999</v>
      </c>
      <c r="CO57" s="30">
        <v>1033.6587320000001</v>
      </c>
      <c r="CP57" s="30">
        <v>1038.535157</v>
      </c>
      <c r="CQ57" s="30">
        <v>1043.411582</v>
      </c>
      <c r="CR57" s="30">
        <v>1048.288008</v>
      </c>
      <c r="CS57" s="30">
        <v>1053.1644329999999</v>
      </c>
      <c r="CT57" s="30">
        <v>1058.0408580000001</v>
      </c>
      <c r="CU57" s="30">
        <v>1062.917283</v>
      </c>
      <c r="CV57" s="30">
        <v>1067.7937079999999</v>
      </c>
      <c r="CW57" s="30">
        <v>1072.670134</v>
      </c>
      <c r="CX57" s="30">
        <v>1077.5465589999999</v>
      </c>
      <c r="CY57" s="30">
        <v>1082.422984</v>
      </c>
      <c r="CZ57" s="30">
        <v>1087.299409</v>
      </c>
      <c r="DA57" s="30">
        <v>1092.1758339999999</v>
      </c>
      <c r="DB57" s="30">
        <v>1097.0522599999999</v>
      </c>
      <c r="DC57" s="30">
        <v>1101.9286850000001</v>
      </c>
      <c r="DD57" s="30">
        <v>1106.80511</v>
      </c>
      <c r="DE57" s="30">
        <v>1111.6815349999999</v>
      </c>
      <c r="DF57" s="30">
        <v>1116.557961</v>
      </c>
      <c r="DG57" s="30">
        <v>1121.4343859999999</v>
      </c>
      <c r="DH57" s="30">
        <v>1126.3108110000001</v>
      </c>
      <c r="DI57" s="30">
        <v>1131.187236</v>
      </c>
      <c r="DJ57" s="30"/>
    </row>
    <row r="58" spans="7:114">
      <c r="G58" s="21"/>
      <c r="H58" s="21" t="str">
        <f xml:space="preserve"> _xll.EPMOlapMemberO("[LOCID].[].[6210]","","6210","","000")</f>
        <v>6210</v>
      </c>
      <c r="I58" s="21" t="str">
        <f xml:space="preserve"> _xll.EPMOlapMemberO("[CUSTID].[].[0013100001]","","0013100001","","000")</f>
        <v>0013100001</v>
      </c>
      <c r="J58" s="21" t="str">
        <f xml:space="preserve"> _xll.EPMOlapMemberO("[KEY_FIGURES].[].[STATISTICALEXPOSTFORECASTQTY]","","Ex-Post Fcst Qty","","000")</f>
        <v>Ex-Post Fcst Qty</v>
      </c>
      <c r="K58" s="30">
        <v>87.373313999999993</v>
      </c>
      <c r="L58" s="30">
        <v>86.903672999999998</v>
      </c>
      <c r="M58" s="30">
        <v>86.434031000000004</v>
      </c>
      <c r="N58" s="30">
        <v>85.964388999999997</v>
      </c>
      <c r="O58" s="30">
        <v>85.494747000000004</v>
      </c>
      <c r="P58" s="30">
        <v>85.025105999999994</v>
      </c>
      <c r="Q58" s="30">
        <v>84.555464000000001</v>
      </c>
      <c r="R58" s="30">
        <v>84.085821999999993</v>
      </c>
      <c r="S58" s="30">
        <v>83.616180999999997</v>
      </c>
      <c r="T58" s="30">
        <v>83.146539000000004</v>
      </c>
      <c r="U58" s="30">
        <v>82.676896999999997</v>
      </c>
      <c r="V58" s="30">
        <v>82.207256000000001</v>
      </c>
      <c r="W58" s="30">
        <v>81.737613999999994</v>
      </c>
      <c r="X58" s="30">
        <v>81.267972</v>
      </c>
      <c r="Y58" s="30">
        <v>80.798330000000007</v>
      </c>
      <c r="Z58" s="30">
        <v>80.328688999999997</v>
      </c>
      <c r="AA58" s="30">
        <v>79.859047000000004</v>
      </c>
      <c r="AB58" s="30">
        <v>79.389404999999996</v>
      </c>
      <c r="AC58" s="30">
        <v>78.919764000000001</v>
      </c>
      <c r="AD58" s="30">
        <v>78.450121999999993</v>
      </c>
      <c r="AE58" s="30">
        <v>77.98048</v>
      </c>
      <c r="AF58" s="30">
        <v>77.510839000000004</v>
      </c>
      <c r="AG58" s="30">
        <v>77.041196999999997</v>
      </c>
      <c r="AH58" s="30">
        <v>76.571555000000004</v>
      </c>
      <c r="AI58" s="30">
        <v>76.101912999999996</v>
      </c>
      <c r="AJ58" s="30">
        <v>75.632272</v>
      </c>
      <c r="AK58" s="30">
        <v>75.162629999999993</v>
      </c>
      <c r="AL58" s="30">
        <v>74.692988</v>
      </c>
      <c r="AM58" s="30">
        <v>74.223347000000004</v>
      </c>
      <c r="AN58" s="30">
        <v>73.753704999999997</v>
      </c>
      <c r="AO58" s="30">
        <v>73.284063000000003</v>
      </c>
      <c r="AP58" s="30">
        <v>72.814421999999993</v>
      </c>
      <c r="AQ58" s="30">
        <v>72.34478</v>
      </c>
      <c r="AR58" s="30">
        <v>71.875138000000007</v>
      </c>
      <c r="AS58" s="30">
        <v>71.405495999999999</v>
      </c>
      <c r="AT58" s="30">
        <v>70.935855000000004</v>
      </c>
      <c r="AU58" s="30">
        <v>70.466212999999996</v>
      </c>
      <c r="AV58" s="30">
        <v>69.996571000000003</v>
      </c>
      <c r="AW58" s="30">
        <v>69.526929999999993</v>
      </c>
      <c r="AX58" s="30">
        <v>69.057288</v>
      </c>
      <c r="AY58" s="30">
        <v>68.587646000000007</v>
      </c>
      <c r="AZ58" s="30">
        <v>68.118004999999997</v>
      </c>
      <c r="BA58" s="30">
        <v>67.648363000000003</v>
      </c>
      <c r="BB58" s="30">
        <v>67.178720999999996</v>
      </c>
      <c r="BC58" s="30">
        <v>66.709079000000003</v>
      </c>
      <c r="BD58" s="30">
        <v>66.239438000000007</v>
      </c>
      <c r="BE58" s="30">
        <v>65.769795999999999</v>
      </c>
      <c r="BF58" s="30">
        <v>65.300154000000006</v>
      </c>
      <c r="BG58" s="30">
        <v>64.830512999999996</v>
      </c>
      <c r="BH58" s="30">
        <v>64.360871000000003</v>
      </c>
      <c r="BI58" s="30">
        <v>63.891229000000003</v>
      </c>
      <c r="BJ58" s="30"/>
      <c r="BK58" s="30"/>
      <c r="BL58" s="30"/>
      <c r="BM58" s="30"/>
      <c r="BN58" s="30"/>
      <c r="BO58" s="30"/>
      <c r="BP58" s="30"/>
      <c r="BQ58" s="30"/>
      <c r="BR58" s="30"/>
      <c r="BS58" s="30"/>
      <c r="BT58" s="30"/>
      <c r="BU58" s="30"/>
      <c r="BV58" s="30"/>
      <c r="BW58" s="30"/>
      <c r="BX58" s="30"/>
      <c r="BY58" s="30"/>
      <c r="BZ58" s="30"/>
      <c r="CA58" s="30"/>
      <c r="CB58" s="30"/>
      <c r="CC58" s="30"/>
      <c r="CD58" s="30"/>
      <c r="CE58" s="30"/>
      <c r="CF58" s="30"/>
      <c r="CG58" s="30"/>
      <c r="CH58" s="30"/>
      <c r="CI58" s="30"/>
      <c r="CJ58" s="30"/>
      <c r="CK58" s="30"/>
      <c r="CL58" s="30"/>
      <c r="CM58" s="30"/>
      <c r="CN58" s="30"/>
      <c r="CO58" s="30"/>
      <c r="CP58" s="30"/>
      <c r="CQ58" s="30"/>
      <c r="CR58" s="30"/>
      <c r="CS58" s="30"/>
      <c r="CT58" s="30"/>
      <c r="CU58" s="30"/>
      <c r="CV58" s="30"/>
      <c r="CW58" s="30"/>
      <c r="CX58" s="30"/>
      <c r="CY58" s="30"/>
      <c r="CZ58" s="30"/>
      <c r="DA58" s="30"/>
      <c r="DB58" s="30"/>
      <c r="DC58" s="30"/>
      <c r="DD58" s="30"/>
      <c r="DE58" s="30"/>
      <c r="DF58" s="30"/>
      <c r="DG58" s="30"/>
      <c r="DH58" s="30"/>
      <c r="DI58" s="30"/>
      <c r="DJ58" s="30"/>
    </row>
    <row r="59" spans="7:114">
      <c r="G59" s="42"/>
      <c r="H59" s="42"/>
      <c r="I59" s="42"/>
      <c r="J59" s="42" t="str">
        <f xml:space="preserve"> _xll.EPMOlapMemberO("[KEY_FIGURES].[].[ADJUSTEDACTUALSQTY]","","Actuals Qty Adj.","","000")</f>
        <v>Actuals Qty Adj.</v>
      </c>
      <c r="K59" s="62">
        <v>104</v>
      </c>
      <c r="L59" s="62">
        <v>106</v>
      </c>
      <c r="M59" s="62">
        <v>76</v>
      </c>
      <c r="N59" s="62">
        <v>79</v>
      </c>
      <c r="O59" s="62">
        <v>67</v>
      </c>
      <c r="P59" s="62">
        <v>87</v>
      </c>
      <c r="Q59" s="62">
        <v>82</v>
      </c>
      <c r="R59" s="62">
        <v>72</v>
      </c>
      <c r="S59" s="62">
        <v>68</v>
      </c>
      <c r="T59" s="62">
        <v>92</v>
      </c>
      <c r="U59" s="62">
        <v>66</v>
      </c>
      <c r="V59" s="62">
        <v>84</v>
      </c>
      <c r="W59" s="62">
        <v>75</v>
      </c>
      <c r="X59" s="62">
        <v>86</v>
      </c>
      <c r="Y59" s="62">
        <v>76</v>
      </c>
      <c r="Z59" s="62">
        <v>73</v>
      </c>
      <c r="AA59" s="62">
        <v>73</v>
      </c>
      <c r="AB59" s="62">
        <v>92</v>
      </c>
      <c r="AC59" s="62">
        <v>85</v>
      </c>
      <c r="AD59" s="62">
        <v>80</v>
      </c>
      <c r="AE59" s="62">
        <v>86</v>
      </c>
      <c r="AF59" s="62">
        <v>80</v>
      </c>
      <c r="AG59" s="62">
        <v>92</v>
      </c>
      <c r="AH59" s="62">
        <v>73</v>
      </c>
      <c r="AI59" s="62">
        <v>106</v>
      </c>
      <c r="AJ59" s="62">
        <v>81</v>
      </c>
      <c r="AK59" s="62">
        <v>73</v>
      </c>
      <c r="AL59" s="62">
        <v>75</v>
      </c>
      <c r="AM59" s="62">
        <v>77</v>
      </c>
      <c r="AN59" s="62">
        <v>63</v>
      </c>
      <c r="AO59" s="62">
        <v>82</v>
      </c>
      <c r="AP59" s="62">
        <v>89</v>
      </c>
      <c r="AQ59" s="62">
        <v>80</v>
      </c>
      <c r="AR59" s="62">
        <v>77</v>
      </c>
      <c r="AS59" s="62">
        <v>59</v>
      </c>
      <c r="AT59" s="62">
        <v>79</v>
      </c>
      <c r="AU59" s="62">
        <v>63</v>
      </c>
      <c r="AV59" s="62">
        <v>78</v>
      </c>
      <c r="AW59" s="62">
        <v>93</v>
      </c>
      <c r="AX59" s="62">
        <v>68</v>
      </c>
      <c r="AY59" s="62">
        <v>68</v>
      </c>
      <c r="AZ59" s="62">
        <v>81</v>
      </c>
      <c r="BA59" s="62">
        <v>59</v>
      </c>
      <c r="BB59" s="62">
        <v>53</v>
      </c>
      <c r="BC59" s="62">
        <v>69</v>
      </c>
      <c r="BD59" s="62">
        <v>68</v>
      </c>
      <c r="BE59" s="62">
        <v>70</v>
      </c>
      <c r="BF59" s="62">
        <v>74</v>
      </c>
      <c r="BG59" s="62">
        <v>63</v>
      </c>
      <c r="BH59" s="62">
        <v>37</v>
      </c>
      <c r="BI59" s="62">
        <v>51</v>
      </c>
      <c r="BJ59" s="62">
        <v>39</v>
      </c>
      <c r="BK59" s="62">
        <v>48</v>
      </c>
      <c r="BL59" s="62">
        <v>23</v>
      </c>
      <c r="BM59" s="62">
        <v>52</v>
      </c>
      <c r="BN59" s="62">
        <v>54</v>
      </c>
      <c r="BO59" s="62">
        <v>61</v>
      </c>
      <c r="BP59" s="62">
        <v>70</v>
      </c>
      <c r="BQ59" s="62">
        <v>64</v>
      </c>
      <c r="BR59" s="62">
        <v>51</v>
      </c>
      <c r="BS59" s="62">
        <v>30</v>
      </c>
      <c r="BT59" s="62"/>
      <c r="BU59" s="62"/>
      <c r="BV59" s="62"/>
      <c r="BW59" s="62"/>
      <c r="BX59" s="62"/>
      <c r="BY59" s="62"/>
      <c r="BZ59" s="62"/>
      <c r="CA59" s="62"/>
      <c r="CB59" s="62"/>
      <c r="CC59" s="62"/>
      <c r="CD59" s="62"/>
      <c r="CE59" s="62"/>
      <c r="CF59" s="62"/>
      <c r="CG59" s="62"/>
      <c r="CH59" s="62"/>
      <c r="CI59" s="62"/>
      <c r="CJ59" s="62"/>
      <c r="CK59" s="62"/>
      <c r="CL59" s="62"/>
      <c r="CM59" s="62"/>
      <c r="CN59" s="62"/>
      <c r="CO59" s="62"/>
      <c r="CP59" s="62"/>
      <c r="CQ59" s="62"/>
      <c r="CR59" s="62"/>
      <c r="CS59" s="62"/>
      <c r="CT59" s="62"/>
      <c r="CU59" s="62"/>
      <c r="CV59" s="62"/>
      <c r="CW59" s="62"/>
      <c r="CX59" s="62"/>
      <c r="CY59" s="62"/>
      <c r="CZ59" s="62"/>
      <c r="DA59" s="62"/>
      <c r="DB59" s="62"/>
      <c r="DC59" s="62"/>
      <c r="DD59" s="62"/>
      <c r="DE59" s="62"/>
      <c r="DF59" s="62"/>
      <c r="DG59" s="62"/>
      <c r="DH59" s="62"/>
      <c r="DI59" s="62"/>
      <c r="DJ59" s="62"/>
    </row>
    <row r="60" spans="7:114">
      <c r="G60" s="21"/>
      <c r="H60" s="21"/>
      <c r="I60" s="21"/>
      <c r="J60" s="21" t="str">
        <f xml:space="preserve"> _xll.EPMOlapMemberO("[KEY_FIGURES].[].[RESIDUALEXPOSTFCSTACTUALSADJ]","","Residuals Ex-Post Fcst - Actuals Qty Adj","","000")</f>
        <v>Residuals Ex-Post Fcst - Actuals Qty Adj</v>
      </c>
      <c r="K60" s="30">
        <v>-16.626685999999999</v>
      </c>
      <c r="L60" s="30">
        <v>-19.096326999999999</v>
      </c>
      <c r="M60" s="30">
        <v>10.434030999999999</v>
      </c>
      <c r="N60" s="30">
        <v>6.9643889999999997</v>
      </c>
      <c r="O60" s="30">
        <v>18.494747</v>
      </c>
      <c r="P60" s="30">
        <v>-1.9748939999999999</v>
      </c>
      <c r="Q60" s="30">
        <v>2.5554640000000002</v>
      </c>
      <c r="R60" s="30">
        <v>12.085822</v>
      </c>
      <c r="S60" s="30">
        <v>15.616180999999999</v>
      </c>
      <c r="T60" s="30">
        <v>-8.8534609999999994</v>
      </c>
      <c r="U60" s="30">
        <v>16.676897</v>
      </c>
      <c r="V60" s="30">
        <v>-1.7927439999999999</v>
      </c>
      <c r="W60" s="30">
        <v>6.7376139999999998</v>
      </c>
      <c r="X60" s="30">
        <v>-4.7320279999999997</v>
      </c>
      <c r="Y60" s="30">
        <v>4.79833</v>
      </c>
      <c r="Z60" s="30">
        <v>7.3286889999999998</v>
      </c>
      <c r="AA60" s="30">
        <v>6.8590470000000003</v>
      </c>
      <c r="AB60" s="30">
        <v>-12.610595</v>
      </c>
      <c r="AC60" s="30">
        <v>-6.0802360000000002</v>
      </c>
      <c r="AD60" s="30">
        <v>-1.5498780000000001</v>
      </c>
      <c r="AE60" s="30">
        <v>-8.01952</v>
      </c>
      <c r="AF60" s="30">
        <v>-2.4891610000000002</v>
      </c>
      <c r="AG60" s="30">
        <v>-14.958803</v>
      </c>
      <c r="AH60" s="30">
        <v>3.571555</v>
      </c>
      <c r="AI60" s="30">
        <v>-29.898087</v>
      </c>
      <c r="AJ60" s="30">
        <v>-5.3677279999999996</v>
      </c>
      <c r="AK60" s="30">
        <v>2.1626300000000001</v>
      </c>
      <c r="AL60" s="30">
        <v>-0.30701200000000001</v>
      </c>
      <c r="AM60" s="30">
        <v>-2.776653</v>
      </c>
      <c r="AN60" s="30">
        <v>10.753705</v>
      </c>
      <c r="AO60" s="30">
        <v>-8.7159370000000003</v>
      </c>
      <c r="AP60" s="30">
        <v>-16.185578</v>
      </c>
      <c r="AQ60" s="30">
        <v>-7.6552199999999999</v>
      </c>
      <c r="AR60" s="30">
        <v>-5.1248620000000003</v>
      </c>
      <c r="AS60" s="30">
        <v>12.405495999999999</v>
      </c>
      <c r="AT60" s="30">
        <v>-8.0641449999999999</v>
      </c>
      <c r="AU60" s="30">
        <v>7.4662129999999998</v>
      </c>
      <c r="AV60" s="30">
        <v>-8.0034290000000006</v>
      </c>
      <c r="AW60" s="30">
        <v>-23.47307</v>
      </c>
      <c r="AX60" s="30">
        <v>1.057288</v>
      </c>
      <c r="AY60" s="30">
        <v>0.587646</v>
      </c>
      <c r="AZ60" s="30">
        <v>-12.881995</v>
      </c>
      <c r="BA60" s="30">
        <v>8.6483629999999998</v>
      </c>
      <c r="BB60" s="30">
        <v>14.178720999999999</v>
      </c>
      <c r="BC60" s="30">
        <v>-2.290921</v>
      </c>
      <c r="BD60" s="30">
        <v>-1.760562</v>
      </c>
      <c r="BE60" s="30">
        <v>-4.2302039999999996</v>
      </c>
      <c r="BF60" s="30">
        <v>-8.6998460000000009</v>
      </c>
      <c r="BG60" s="30">
        <v>1.8305130000000001</v>
      </c>
      <c r="BH60" s="30">
        <v>27.360870999999999</v>
      </c>
      <c r="BI60" s="30">
        <v>12.891228999999999</v>
      </c>
      <c r="BJ60" s="30">
        <v>-39</v>
      </c>
      <c r="BK60" s="30">
        <v>-48</v>
      </c>
      <c r="BL60" s="30">
        <v>-23</v>
      </c>
      <c r="BM60" s="30">
        <v>-52</v>
      </c>
      <c r="BN60" s="30">
        <v>-54</v>
      </c>
      <c r="BO60" s="30">
        <v>-61</v>
      </c>
      <c r="BP60" s="30">
        <v>-70</v>
      </c>
      <c r="BQ60" s="30">
        <v>-64</v>
      </c>
      <c r="BR60" s="30">
        <v>-51</v>
      </c>
      <c r="BS60" s="30">
        <v>-30</v>
      </c>
      <c r="BT60" s="30"/>
      <c r="BU60" s="30"/>
      <c r="BV60" s="30"/>
      <c r="BW60" s="30"/>
      <c r="BX60" s="30"/>
      <c r="BY60" s="30"/>
      <c r="BZ60" s="30"/>
      <c r="CA60" s="30"/>
      <c r="CB60" s="30"/>
      <c r="CC60" s="30"/>
      <c r="CD60" s="30"/>
      <c r="CE60" s="30"/>
      <c r="CF60" s="30"/>
      <c r="CG60" s="30"/>
      <c r="CH60" s="30"/>
      <c r="CI60" s="30"/>
      <c r="CJ60" s="30"/>
      <c r="CK60" s="30"/>
      <c r="CL60" s="30"/>
      <c r="CM60" s="30"/>
      <c r="CN60" s="30"/>
      <c r="CO60" s="30"/>
      <c r="CP60" s="30"/>
      <c r="CQ60" s="30"/>
      <c r="CR60" s="30"/>
      <c r="CS60" s="30"/>
      <c r="CT60" s="30"/>
      <c r="CU60" s="30"/>
      <c r="CV60" s="30"/>
      <c r="CW60" s="30"/>
      <c r="CX60" s="30"/>
      <c r="CY60" s="30"/>
      <c r="CZ60" s="30"/>
      <c r="DA60" s="30"/>
      <c r="DB60" s="30"/>
      <c r="DC60" s="30"/>
      <c r="DD60" s="30"/>
      <c r="DE60" s="30"/>
      <c r="DF60" s="30"/>
      <c r="DG60" s="30"/>
      <c r="DH60" s="30"/>
      <c r="DI60" s="30"/>
      <c r="DJ60" s="30"/>
    </row>
    <row r="61" spans="7:114">
      <c r="G61" s="21"/>
      <c r="H61" s="21"/>
      <c r="I61" s="21"/>
      <c r="J61" s="21" t="str">
        <f xml:space="preserve"> _xll.EPMOlapMemberO("[KEY_FIGURES].[].[STATISTICALFORECASTQTY]","","Statistical Fcst Qty","","000")</f>
        <v>Statistical Fcst Qty</v>
      </c>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v>63.421588</v>
      </c>
      <c r="BK61" s="30">
        <v>62.951946</v>
      </c>
      <c r="BL61" s="30">
        <v>62.482303999999999</v>
      </c>
      <c r="BM61" s="30">
        <v>62.012661999999999</v>
      </c>
      <c r="BN61" s="30">
        <v>61.543021000000003</v>
      </c>
      <c r="BO61" s="30">
        <v>61.073379000000003</v>
      </c>
      <c r="BP61" s="30">
        <v>60.603737000000002</v>
      </c>
      <c r="BQ61" s="30">
        <v>60.134096</v>
      </c>
      <c r="BR61" s="30">
        <v>59.664453999999999</v>
      </c>
      <c r="BS61" s="30">
        <v>59.194811999999999</v>
      </c>
      <c r="BT61" s="30">
        <v>58.725171000000003</v>
      </c>
      <c r="BU61" s="30">
        <v>58.255529000000003</v>
      </c>
      <c r="BV61" s="30">
        <v>57.785887000000002</v>
      </c>
      <c r="BW61" s="30">
        <v>57.316245000000002</v>
      </c>
      <c r="BX61" s="30">
        <v>56.846603999999999</v>
      </c>
      <c r="BY61" s="30">
        <v>56.376961999999999</v>
      </c>
      <c r="BZ61" s="30">
        <v>55.907319999999999</v>
      </c>
      <c r="CA61" s="30">
        <v>55.437679000000003</v>
      </c>
      <c r="CB61" s="30">
        <v>54.968037000000002</v>
      </c>
      <c r="CC61" s="30">
        <v>54.498395000000002</v>
      </c>
      <c r="CD61" s="30">
        <v>54.028753999999999</v>
      </c>
      <c r="CE61" s="30">
        <v>53.559111999999999</v>
      </c>
      <c r="CF61" s="30">
        <v>53.089469999999999</v>
      </c>
      <c r="CG61" s="30">
        <v>52.619827999999998</v>
      </c>
      <c r="CH61" s="30">
        <v>52.150187000000003</v>
      </c>
      <c r="CI61" s="30">
        <v>51.680545000000002</v>
      </c>
      <c r="CJ61" s="30">
        <v>51.210903000000002</v>
      </c>
      <c r="CK61" s="30">
        <v>50.741261999999999</v>
      </c>
      <c r="CL61" s="30">
        <v>50.271619999999999</v>
      </c>
      <c r="CM61" s="30">
        <v>49.801977999999998</v>
      </c>
      <c r="CN61" s="30">
        <v>49.332337000000003</v>
      </c>
      <c r="CO61" s="30">
        <v>48.862695000000002</v>
      </c>
      <c r="CP61" s="30">
        <v>48.393053000000002</v>
      </c>
      <c r="CQ61" s="30">
        <v>47.923411000000002</v>
      </c>
      <c r="CR61" s="30">
        <v>47.453769999999999</v>
      </c>
      <c r="CS61" s="30">
        <v>46.984127999999998</v>
      </c>
      <c r="CT61" s="30">
        <v>46.514485999999998</v>
      </c>
      <c r="CU61" s="30">
        <v>46.044845000000002</v>
      </c>
      <c r="CV61" s="30">
        <v>45.575203000000002</v>
      </c>
      <c r="CW61" s="30">
        <v>45.105561000000002</v>
      </c>
      <c r="CX61" s="30">
        <v>44.635919999999999</v>
      </c>
      <c r="CY61" s="30">
        <v>44.166277999999998</v>
      </c>
      <c r="CZ61" s="30">
        <v>43.696635999999998</v>
      </c>
      <c r="DA61" s="30">
        <v>43.226993999999998</v>
      </c>
      <c r="DB61" s="30">
        <v>42.757353000000002</v>
      </c>
      <c r="DC61" s="30">
        <v>42.287711000000002</v>
      </c>
      <c r="DD61" s="30">
        <v>41.818069000000001</v>
      </c>
      <c r="DE61" s="30">
        <v>41.348427999999998</v>
      </c>
      <c r="DF61" s="30">
        <v>40.878785999999998</v>
      </c>
      <c r="DG61" s="30">
        <v>40.409143999999998</v>
      </c>
      <c r="DH61" s="30">
        <v>39.939503000000002</v>
      </c>
      <c r="DI61" s="30">
        <v>39.469861000000002</v>
      </c>
      <c r="DJ61" s="30"/>
    </row>
    <row r="62" spans="7:114">
      <c r="G62" s="21" t="str">
        <f xml:space="preserve"> _xll.EPMOlapMemberO("[PRDID].[].[TG0011]","","TG0011","","000")</f>
        <v>TG0011</v>
      </c>
      <c r="H62" s="21" t="str">
        <f xml:space="preserve"> _xll.EPMOlapMemberO("[LOCID].[].[3710]","","3710","","000")</f>
        <v>3710</v>
      </c>
      <c r="I62" s="21" t="str">
        <f xml:space="preserve"> _xll.EPMOlapMemberO("[CUSTID].[].[0037100001]","","0037100001","","000")</f>
        <v>0037100001</v>
      </c>
      <c r="J62" s="21" t="str">
        <f xml:space="preserve"> _xll.EPMOlapMemberO("[KEY_FIGURES].[].[STATISTICALEXPOSTFORECASTQTY]","","Ex-Post Fcst Qty","","000")</f>
        <v>Ex-Post Fcst Qty</v>
      </c>
      <c r="K62" s="30">
        <v>1400</v>
      </c>
      <c r="L62" s="30">
        <v>1400</v>
      </c>
      <c r="M62" s="30">
        <v>1400</v>
      </c>
      <c r="N62" s="30">
        <v>1400</v>
      </c>
      <c r="O62" s="30">
        <v>1400</v>
      </c>
      <c r="P62" s="30">
        <v>1400</v>
      </c>
      <c r="Q62" s="30">
        <v>1400</v>
      </c>
      <c r="R62" s="30">
        <v>1400</v>
      </c>
      <c r="S62" s="30">
        <v>1400</v>
      </c>
      <c r="T62" s="30">
        <v>1400</v>
      </c>
      <c r="U62" s="30">
        <v>1400</v>
      </c>
      <c r="V62" s="30">
        <v>1400</v>
      </c>
      <c r="W62" s="30">
        <v>1400</v>
      </c>
      <c r="X62" s="30">
        <v>1400</v>
      </c>
      <c r="Y62" s="30">
        <v>1400</v>
      </c>
      <c r="Z62" s="30">
        <v>1400</v>
      </c>
      <c r="AA62" s="30">
        <v>1400</v>
      </c>
      <c r="AB62" s="30">
        <v>1400</v>
      </c>
      <c r="AC62" s="30">
        <v>1400</v>
      </c>
      <c r="AD62" s="30">
        <v>1400</v>
      </c>
      <c r="AE62" s="30">
        <v>1400</v>
      </c>
      <c r="AF62" s="30">
        <v>1400</v>
      </c>
      <c r="AG62" s="30">
        <v>1400</v>
      </c>
      <c r="AH62" s="30">
        <v>1400</v>
      </c>
      <c r="AI62" s="30">
        <v>1400</v>
      </c>
      <c r="AJ62" s="30">
        <v>1400</v>
      </c>
      <c r="AK62" s="30">
        <v>1400</v>
      </c>
      <c r="AL62" s="30">
        <v>1400</v>
      </c>
      <c r="AM62" s="30">
        <v>1400</v>
      </c>
      <c r="AN62" s="30">
        <v>1400</v>
      </c>
      <c r="AO62" s="30">
        <v>1400</v>
      </c>
      <c r="AP62" s="30">
        <v>1400</v>
      </c>
      <c r="AQ62" s="30">
        <v>1400</v>
      </c>
      <c r="AR62" s="30">
        <v>1400</v>
      </c>
      <c r="AS62" s="30">
        <v>1400</v>
      </c>
      <c r="AT62" s="30">
        <v>1400</v>
      </c>
      <c r="AU62" s="30">
        <v>1400</v>
      </c>
      <c r="AV62" s="30">
        <v>1400</v>
      </c>
      <c r="AW62" s="30">
        <v>1400</v>
      </c>
      <c r="AX62" s="30">
        <v>1400</v>
      </c>
      <c r="AY62" s="30">
        <v>1400</v>
      </c>
      <c r="AZ62" s="30">
        <v>1400</v>
      </c>
      <c r="BA62" s="30">
        <v>1400</v>
      </c>
      <c r="BB62" s="30">
        <v>1400</v>
      </c>
      <c r="BC62" s="30">
        <v>1400</v>
      </c>
      <c r="BD62" s="30">
        <v>1400</v>
      </c>
      <c r="BE62" s="30">
        <v>1400</v>
      </c>
      <c r="BF62" s="30">
        <v>1400</v>
      </c>
      <c r="BG62" s="30">
        <v>1400</v>
      </c>
      <c r="BH62" s="30">
        <v>1400</v>
      </c>
      <c r="BI62" s="30">
        <v>1400</v>
      </c>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row>
    <row r="63" spans="7:114">
      <c r="G63" s="42"/>
      <c r="H63" s="42"/>
      <c r="I63" s="42"/>
      <c r="J63" s="42" t="str">
        <f xml:space="preserve"> _xll.EPMOlapMemberO("[KEY_FIGURES].[].[ADJUSTEDACTUALSQTY]","","Actuals Qty Adj.","","000")</f>
        <v>Actuals Qty Adj.</v>
      </c>
      <c r="K63" s="62">
        <v>1400</v>
      </c>
      <c r="L63" s="62">
        <v>1400</v>
      </c>
      <c r="M63" s="62">
        <v>1400</v>
      </c>
      <c r="N63" s="62">
        <v>1400</v>
      </c>
      <c r="O63" s="62">
        <v>1400</v>
      </c>
      <c r="P63" s="62">
        <v>1400</v>
      </c>
      <c r="Q63" s="62">
        <v>1400</v>
      </c>
      <c r="R63" s="62">
        <v>1400</v>
      </c>
      <c r="S63" s="62">
        <v>1400</v>
      </c>
      <c r="T63" s="62">
        <v>1400</v>
      </c>
      <c r="U63" s="62">
        <v>1400</v>
      </c>
      <c r="V63" s="62">
        <v>1400</v>
      </c>
      <c r="W63" s="62">
        <v>1400</v>
      </c>
      <c r="X63" s="62">
        <v>1400</v>
      </c>
      <c r="Y63" s="62">
        <v>1400</v>
      </c>
      <c r="Z63" s="62">
        <v>1400</v>
      </c>
      <c r="AA63" s="62">
        <v>1400</v>
      </c>
      <c r="AB63" s="62">
        <v>1400</v>
      </c>
      <c r="AC63" s="62">
        <v>1400</v>
      </c>
      <c r="AD63" s="62">
        <v>1400</v>
      </c>
      <c r="AE63" s="62">
        <v>1400</v>
      </c>
      <c r="AF63" s="62">
        <v>1400</v>
      </c>
      <c r="AG63" s="62">
        <v>1400</v>
      </c>
      <c r="AH63" s="62">
        <v>1400</v>
      </c>
      <c r="AI63" s="62">
        <v>1400</v>
      </c>
      <c r="AJ63" s="62">
        <v>1400</v>
      </c>
      <c r="AK63" s="62">
        <v>1400</v>
      </c>
      <c r="AL63" s="62">
        <v>1400</v>
      </c>
      <c r="AM63" s="62">
        <v>1400</v>
      </c>
      <c r="AN63" s="62">
        <v>1400</v>
      </c>
      <c r="AO63" s="62">
        <v>1400</v>
      </c>
      <c r="AP63" s="62">
        <v>1400</v>
      </c>
      <c r="AQ63" s="62">
        <v>1400</v>
      </c>
      <c r="AR63" s="62">
        <v>1400</v>
      </c>
      <c r="AS63" s="62">
        <v>1400</v>
      </c>
      <c r="AT63" s="62">
        <v>1400</v>
      </c>
      <c r="AU63" s="62">
        <v>1400</v>
      </c>
      <c r="AV63" s="62">
        <v>1400</v>
      </c>
      <c r="AW63" s="62">
        <v>1400</v>
      </c>
      <c r="AX63" s="62">
        <v>1400</v>
      </c>
      <c r="AY63" s="62">
        <v>1400</v>
      </c>
      <c r="AZ63" s="62">
        <v>1400</v>
      </c>
      <c r="BA63" s="62">
        <v>1400</v>
      </c>
      <c r="BB63" s="62">
        <v>1400</v>
      </c>
      <c r="BC63" s="62">
        <v>1400</v>
      </c>
      <c r="BD63" s="62">
        <v>1400</v>
      </c>
      <c r="BE63" s="62">
        <v>1400</v>
      </c>
      <c r="BF63" s="62">
        <v>1400</v>
      </c>
      <c r="BG63" s="62">
        <v>1400</v>
      </c>
      <c r="BH63" s="62">
        <v>1400</v>
      </c>
      <c r="BI63" s="62">
        <v>1400</v>
      </c>
      <c r="BJ63" s="62">
        <v>1400</v>
      </c>
      <c r="BK63" s="62">
        <v>1400</v>
      </c>
      <c r="BL63" s="62">
        <v>1400</v>
      </c>
      <c r="BM63" s="62">
        <v>1400</v>
      </c>
      <c r="BN63" s="62">
        <v>1400</v>
      </c>
      <c r="BO63" s="62">
        <v>1400</v>
      </c>
      <c r="BP63" s="62">
        <v>1400</v>
      </c>
      <c r="BQ63" s="62">
        <v>1400</v>
      </c>
      <c r="BR63" s="62">
        <v>1400</v>
      </c>
      <c r="BS63" s="62">
        <v>1400</v>
      </c>
      <c r="BT63" s="62">
        <v>1400</v>
      </c>
      <c r="BU63" s="62"/>
      <c r="BV63" s="62"/>
      <c r="BW63" s="62"/>
      <c r="BX63" s="62"/>
      <c r="BY63" s="62"/>
      <c r="BZ63" s="62"/>
      <c r="CA63" s="62"/>
      <c r="CB63" s="62"/>
      <c r="CC63" s="62"/>
      <c r="CD63" s="62"/>
      <c r="CE63" s="62"/>
      <c r="CF63" s="62"/>
      <c r="CG63" s="62"/>
      <c r="CH63" s="62"/>
      <c r="CI63" s="62"/>
      <c r="CJ63" s="62"/>
      <c r="CK63" s="62"/>
      <c r="CL63" s="62"/>
      <c r="CM63" s="62"/>
      <c r="CN63" s="62"/>
      <c r="CO63" s="62"/>
      <c r="CP63" s="62"/>
      <c r="CQ63" s="62"/>
      <c r="CR63" s="62"/>
      <c r="CS63" s="62"/>
      <c r="CT63" s="62"/>
      <c r="CU63" s="62"/>
      <c r="CV63" s="62"/>
      <c r="CW63" s="62"/>
      <c r="CX63" s="62"/>
      <c r="CY63" s="62"/>
      <c r="CZ63" s="62"/>
      <c r="DA63" s="62"/>
      <c r="DB63" s="62"/>
      <c r="DC63" s="62"/>
      <c r="DD63" s="62"/>
      <c r="DE63" s="62"/>
      <c r="DF63" s="62"/>
      <c r="DG63" s="62"/>
      <c r="DH63" s="62"/>
      <c r="DI63" s="62"/>
      <c r="DJ63" s="62"/>
    </row>
    <row r="64" spans="7:114">
      <c r="G64" s="21"/>
      <c r="H64" s="21"/>
      <c r="I64" s="21"/>
      <c r="J64" s="21" t="str">
        <f xml:space="preserve"> _xll.EPMOlapMemberO("[KEY_FIGURES].[].[RESIDUALEXPOSTFCSTACTUALSADJ]","","Residuals Ex-Post Fcst - Actuals Qty Adj","","000")</f>
        <v>Residuals Ex-Post Fcst - Actuals Qty Adj</v>
      </c>
      <c r="K64" s="30">
        <v>0</v>
      </c>
      <c r="L64" s="30">
        <v>0</v>
      </c>
      <c r="M64" s="30">
        <v>0</v>
      </c>
      <c r="N64" s="30">
        <v>0</v>
      </c>
      <c r="O64" s="30">
        <v>0</v>
      </c>
      <c r="P64" s="30">
        <v>0</v>
      </c>
      <c r="Q64" s="30">
        <v>0</v>
      </c>
      <c r="R64" s="30">
        <v>0</v>
      </c>
      <c r="S64" s="30">
        <v>0</v>
      </c>
      <c r="T64" s="30">
        <v>0</v>
      </c>
      <c r="U64" s="30">
        <v>0</v>
      </c>
      <c r="V64" s="30">
        <v>0</v>
      </c>
      <c r="W64" s="30">
        <v>0</v>
      </c>
      <c r="X64" s="30">
        <v>0</v>
      </c>
      <c r="Y64" s="30">
        <v>0</v>
      </c>
      <c r="Z64" s="30">
        <v>0</v>
      </c>
      <c r="AA64" s="30">
        <v>0</v>
      </c>
      <c r="AB64" s="30">
        <v>0</v>
      </c>
      <c r="AC64" s="30">
        <v>0</v>
      </c>
      <c r="AD64" s="30">
        <v>0</v>
      </c>
      <c r="AE64" s="30">
        <v>0</v>
      </c>
      <c r="AF64" s="30">
        <v>0</v>
      </c>
      <c r="AG64" s="30">
        <v>0</v>
      </c>
      <c r="AH64" s="30">
        <v>0</v>
      </c>
      <c r="AI64" s="30">
        <v>0</v>
      </c>
      <c r="AJ64" s="30">
        <v>0</v>
      </c>
      <c r="AK64" s="30">
        <v>0</v>
      </c>
      <c r="AL64" s="30">
        <v>0</v>
      </c>
      <c r="AM64" s="30">
        <v>0</v>
      </c>
      <c r="AN64" s="30">
        <v>0</v>
      </c>
      <c r="AO64" s="30">
        <v>0</v>
      </c>
      <c r="AP64" s="30">
        <v>0</v>
      </c>
      <c r="AQ64" s="30">
        <v>0</v>
      </c>
      <c r="AR64" s="30">
        <v>0</v>
      </c>
      <c r="AS64" s="30">
        <v>0</v>
      </c>
      <c r="AT64" s="30">
        <v>0</v>
      </c>
      <c r="AU64" s="30">
        <v>0</v>
      </c>
      <c r="AV64" s="30">
        <v>0</v>
      </c>
      <c r="AW64" s="30">
        <v>0</v>
      </c>
      <c r="AX64" s="30">
        <v>0</v>
      </c>
      <c r="AY64" s="30">
        <v>0</v>
      </c>
      <c r="AZ64" s="30">
        <v>0</v>
      </c>
      <c r="BA64" s="30">
        <v>0</v>
      </c>
      <c r="BB64" s="30">
        <v>0</v>
      </c>
      <c r="BC64" s="30">
        <v>0</v>
      </c>
      <c r="BD64" s="30">
        <v>0</v>
      </c>
      <c r="BE64" s="30">
        <v>0</v>
      </c>
      <c r="BF64" s="30">
        <v>0</v>
      </c>
      <c r="BG64" s="30">
        <v>0</v>
      </c>
      <c r="BH64" s="30">
        <v>0</v>
      </c>
      <c r="BI64" s="30">
        <v>0</v>
      </c>
      <c r="BJ64" s="30">
        <v>-1400</v>
      </c>
      <c r="BK64" s="30">
        <v>-1400</v>
      </c>
      <c r="BL64" s="30">
        <v>-1400</v>
      </c>
      <c r="BM64" s="30">
        <v>-1400</v>
      </c>
      <c r="BN64" s="30">
        <v>-1400</v>
      </c>
      <c r="BO64" s="30">
        <v>-1400</v>
      </c>
      <c r="BP64" s="30">
        <v>-1400</v>
      </c>
      <c r="BQ64" s="30">
        <v>-1400</v>
      </c>
      <c r="BR64" s="30">
        <v>-1400</v>
      </c>
      <c r="BS64" s="30">
        <v>-1400</v>
      </c>
      <c r="BT64" s="30">
        <v>-1400</v>
      </c>
      <c r="BU64" s="30"/>
      <c r="BV64" s="30"/>
      <c r="BW64" s="30"/>
      <c r="BX64" s="30"/>
      <c r="BY64" s="30"/>
      <c r="BZ64" s="30"/>
      <c r="CA64" s="30"/>
      <c r="CB64" s="30"/>
      <c r="CC64" s="30"/>
      <c r="CD64" s="30"/>
      <c r="CE64" s="30"/>
      <c r="CF64" s="30"/>
      <c r="CG64" s="30"/>
      <c r="CH64" s="30"/>
      <c r="CI64" s="30"/>
      <c r="CJ64" s="30"/>
      <c r="CK64" s="30"/>
      <c r="CL64" s="30"/>
      <c r="CM64" s="30"/>
      <c r="CN64" s="30"/>
      <c r="CO64" s="30"/>
      <c r="CP64" s="30"/>
      <c r="CQ64" s="30"/>
      <c r="CR64" s="30"/>
      <c r="CS64" s="30"/>
      <c r="CT64" s="30"/>
      <c r="CU64" s="30"/>
      <c r="CV64" s="30"/>
      <c r="CW64" s="30"/>
      <c r="CX64" s="30"/>
      <c r="CY64" s="30"/>
      <c r="CZ64" s="30"/>
      <c r="DA64" s="30"/>
      <c r="DB64" s="30"/>
      <c r="DC64" s="30"/>
      <c r="DD64" s="30"/>
      <c r="DE64" s="30"/>
      <c r="DF64" s="30"/>
      <c r="DG64" s="30"/>
      <c r="DH64" s="30"/>
      <c r="DI64" s="30"/>
      <c r="DJ64" s="30"/>
    </row>
    <row r="65" spans="7:114">
      <c r="G65" s="21"/>
      <c r="H65" s="21"/>
      <c r="I65" s="21"/>
      <c r="J65" s="21" t="str">
        <f xml:space="preserve"> _xll.EPMOlapMemberO("[KEY_FIGURES].[].[STATISTICALFORECASTQTY]","","Statistical Fcst Qty","","000")</f>
        <v>Statistical Fcst Qty</v>
      </c>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0"/>
      <c r="BJ65" s="30">
        <v>1400</v>
      </c>
      <c r="BK65" s="30">
        <v>1400</v>
      </c>
      <c r="BL65" s="30">
        <v>1400</v>
      </c>
      <c r="BM65" s="30">
        <v>1400</v>
      </c>
      <c r="BN65" s="30">
        <v>1400</v>
      </c>
      <c r="BO65" s="30">
        <v>1400</v>
      </c>
      <c r="BP65" s="30">
        <v>1400</v>
      </c>
      <c r="BQ65" s="30">
        <v>1400</v>
      </c>
      <c r="BR65" s="30">
        <v>1400</v>
      </c>
      <c r="BS65" s="30">
        <v>1400</v>
      </c>
      <c r="BT65" s="30">
        <v>1400</v>
      </c>
      <c r="BU65" s="30">
        <v>1400</v>
      </c>
      <c r="BV65" s="30">
        <v>1400</v>
      </c>
      <c r="BW65" s="30">
        <v>1400</v>
      </c>
      <c r="BX65" s="30">
        <v>1400</v>
      </c>
      <c r="BY65" s="30">
        <v>1400</v>
      </c>
      <c r="BZ65" s="30">
        <v>1400</v>
      </c>
      <c r="CA65" s="30">
        <v>1400</v>
      </c>
      <c r="CB65" s="30">
        <v>1400</v>
      </c>
      <c r="CC65" s="30">
        <v>1400</v>
      </c>
      <c r="CD65" s="30">
        <v>1400</v>
      </c>
      <c r="CE65" s="30">
        <v>1400</v>
      </c>
      <c r="CF65" s="30">
        <v>1400</v>
      </c>
      <c r="CG65" s="30">
        <v>1400</v>
      </c>
      <c r="CH65" s="30">
        <v>1400</v>
      </c>
      <c r="CI65" s="30">
        <v>1400</v>
      </c>
      <c r="CJ65" s="30">
        <v>1400</v>
      </c>
      <c r="CK65" s="30">
        <v>1400</v>
      </c>
      <c r="CL65" s="30">
        <v>1400</v>
      </c>
      <c r="CM65" s="30">
        <v>1400</v>
      </c>
      <c r="CN65" s="30">
        <v>1400</v>
      </c>
      <c r="CO65" s="30">
        <v>1400</v>
      </c>
      <c r="CP65" s="30">
        <v>1400</v>
      </c>
      <c r="CQ65" s="30">
        <v>1400</v>
      </c>
      <c r="CR65" s="30">
        <v>1400</v>
      </c>
      <c r="CS65" s="30">
        <v>1400</v>
      </c>
      <c r="CT65" s="30">
        <v>1400</v>
      </c>
      <c r="CU65" s="30">
        <v>1400</v>
      </c>
      <c r="CV65" s="30">
        <v>1400</v>
      </c>
      <c r="CW65" s="30">
        <v>1400</v>
      </c>
      <c r="CX65" s="30">
        <v>1400</v>
      </c>
      <c r="CY65" s="30">
        <v>1400</v>
      </c>
      <c r="CZ65" s="30">
        <v>1400</v>
      </c>
      <c r="DA65" s="30">
        <v>1400</v>
      </c>
      <c r="DB65" s="30">
        <v>1400</v>
      </c>
      <c r="DC65" s="30">
        <v>1400</v>
      </c>
      <c r="DD65" s="30">
        <v>1400</v>
      </c>
      <c r="DE65" s="30">
        <v>1400</v>
      </c>
      <c r="DF65" s="30">
        <v>1400</v>
      </c>
      <c r="DG65" s="30">
        <v>1400</v>
      </c>
      <c r="DH65" s="30">
        <v>1400</v>
      </c>
      <c r="DI65" s="30">
        <v>1400</v>
      </c>
      <c r="DJ65" s="30"/>
    </row>
    <row r="66" spans="7:114">
      <c r="G66" s="21"/>
      <c r="H66" s="21"/>
      <c r="I66" s="21" t="str">
        <f xml:space="preserve"> _xll.EPMOlapMemberO("[CUSTID].[].[0037100002]","","0037100002","","000")</f>
        <v>0037100002</v>
      </c>
      <c r="J66" s="21" t="str">
        <f xml:space="preserve"> _xll.EPMOlapMemberO("[KEY_FIGURES].[].[STATISTICALEXPOSTFORECASTQTY]","","Ex-Post Fcst Qty","","000")</f>
        <v>Ex-Post Fcst Qty</v>
      </c>
      <c r="K66" s="30">
        <v>1400</v>
      </c>
      <c r="L66" s="30">
        <v>1400</v>
      </c>
      <c r="M66" s="30">
        <v>1400</v>
      </c>
      <c r="N66" s="30">
        <v>1400</v>
      </c>
      <c r="O66" s="30">
        <v>1400</v>
      </c>
      <c r="P66" s="30">
        <v>1400</v>
      </c>
      <c r="Q66" s="30">
        <v>1400</v>
      </c>
      <c r="R66" s="30">
        <v>1400</v>
      </c>
      <c r="S66" s="30">
        <v>1400</v>
      </c>
      <c r="T66" s="30">
        <v>1400</v>
      </c>
      <c r="U66" s="30">
        <v>1400</v>
      </c>
      <c r="V66" s="30">
        <v>1400</v>
      </c>
      <c r="W66" s="30">
        <v>1400</v>
      </c>
      <c r="X66" s="30">
        <v>1400</v>
      </c>
      <c r="Y66" s="30">
        <v>1400</v>
      </c>
      <c r="Z66" s="30">
        <v>1400</v>
      </c>
      <c r="AA66" s="30">
        <v>1400</v>
      </c>
      <c r="AB66" s="30">
        <v>1400</v>
      </c>
      <c r="AC66" s="30">
        <v>1400</v>
      </c>
      <c r="AD66" s="30">
        <v>1400</v>
      </c>
      <c r="AE66" s="30">
        <v>1400</v>
      </c>
      <c r="AF66" s="30">
        <v>1400</v>
      </c>
      <c r="AG66" s="30">
        <v>1400</v>
      </c>
      <c r="AH66" s="30">
        <v>1400</v>
      </c>
      <c r="AI66" s="30">
        <v>1400</v>
      </c>
      <c r="AJ66" s="30">
        <v>1400</v>
      </c>
      <c r="AK66" s="30">
        <v>1400</v>
      </c>
      <c r="AL66" s="30">
        <v>1400</v>
      </c>
      <c r="AM66" s="30">
        <v>1400</v>
      </c>
      <c r="AN66" s="30">
        <v>1400</v>
      </c>
      <c r="AO66" s="30">
        <v>1400</v>
      </c>
      <c r="AP66" s="30">
        <v>1400</v>
      </c>
      <c r="AQ66" s="30">
        <v>1400</v>
      </c>
      <c r="AR66" s="30">
        <v>1400</v>
      </c>
      <c r="AS66" s="30">
        <v>1400</v>
      </c>
      <c r="AT66" s="30">
        <v>1400</v>
      </c>
      <c r="AU66" s="30">
        <v>1400</v>
      </c>
      <c r="AV66" s="30">
        <v>1400</v>
      </c>
      <c r="AW66" s="30">
        <v>1400</v>
      </c>
      <c r="AX66" s="30">
        <v>1400</v>
      </c>
      <c r="AY66" s="30">
        <v>1400</v>
      </c>
      <c r="AZ66" s="30">
        <v>1400</v>
      </c>
      <c r="BA66" s="30">
        <v>1400</v>
      </c>
      <c r="BB66" s="30">
        <v>1400</v>
      </c>
      <c r="BC66" s="30">
        <v>1400</v>
      </c>
      <c r="BD66" s="30">
        <v>1400</v>
      </c>
      <c r="BE66" s="30">
        <v>1400</v>
      </c>
      <c r="BF66" s="30">
        <v>1400</v>
      </c>
      <c r="BG66" s="30">
        <v>1400</v>
      </c>
      <c r="BH66" s="30">
        <v>1400</v>
      </c>
      <c r="BI66" s="30">
        <v>1400</v>
      </c>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row>
    <row r="67" spans="7:114">
      <c r="G67" s="42"/>
      <c r="H67" s="42"/>
      <c r="I67" s="42"/>
      <c r="J67" s="42" t="str">
        <f xml:space="preserve"> _xll.EPMOlapMemberO("[KEY_FIGURES].[].[ADJUSTEDACTUALSQTY]","","Actuals Qty Adj.","","000")</f>
        <v>Actuals Qty Adj.</v>
      </c>
      <c r="K67" s="62">
        <v>1400</v>
      </c>
      <c r="L67" s="62">
        <v>1400</v>
      </c>
      <c r="M67" s="62">
        <v>1400</v>
      </c>
      <c r="N67" s="62">
        <v>1400</v>
      </c>
      <c r="O67" s="62">
        <v>1400</v>
      </c>
      <c r="P67" s="62">
        <v>1400</v>
      </c>
      <c r="Q67" s="62">
        <v>1400</v>
      </c>
      <c r="R67" s="62">
        <v>1400</v>
      </c>
      <c r="S67" s="62">
        <v>1400</v>
      </c>
      <c r="T67" s="62">
        <v>1400</v>
      </c>
      <c r="U67" s="62">
        <v>1400</v>
      </c>
      <c r="V67" s="62">
        <v>1400</v>
      </c>
      <c r="W67" s="62">
        <v>1400</v>
      </c>
      <c r="X67" s="62">
        <v>1400</v>
      </c>
      <c r="Y67" s="62">
        <v>1400</v>
      </c>
      <c r="Z67" s="62">
        <v>1400</v>
      </c>
      <c r="AA67" s="62">
        <v>1400</v>
      </c>
      <c r="AB67" s="62">
        <v>1400</v>
      </c>
      <c r="AC67" s="62">
        <v>1400</v>
      </c>
      <c r="AD67" s="62">
        <v>1400</v>
      </c>
      <c r="AE67" s="62">
        <v>1400</v>
      </c>
      <c r="AF67" s="62">
        <v>1400</v>
      </c>
      <c r="AG67" s="62">
        <v>1400</v>
      </c>
      <c r="AH67" s="62">
        <v>1400</v>
      </c>
      <c r="AI67" s="62">
        <v>1400</v>
      </c>
      <c r="AJ67" s="62">
        <v>1400</v>
      </c>
      <c r="AK67" s="62">
        <v>1400</v>
      </c>
      <c r="AL67" s="62">
        <v>1400</v>
      </c>
      <c r="AM67" s="62">
        <v>1400</v>
      </c>
      <c r="AN67" s="62">
        <v>1400</v>
      </c>
      <c r="AO67" s="62">
        <v>1400</v>
      </c>
      <c r="AP67" s="62">
        <v>1400</v>
      </c>
      <c r="AQ67" s="62">
        <v>1400</v>
      </c>
      <c r="AR67" s="62">
        <v>1400</v>
      </c>
      <c r="AS67" s="62">
        <v>1400</v>
      </c>
      <c r="AT67" s="62">
        <v>1400</v>
      </c>
      <c r="AU67" s="62">
        <v>1400</v>
      </c>
      <c r="AV67" s="62">
        <v>1400</v>
      </c>
      <c r="AW67" s="62">
        <v>1400</v>
      </c>
      <c r="AX67" s="62">
        <v>1400</v>
      </c>
      <c r="AY67" s="62">
        <v>1400</v>
      </c>
      <c r="AZ67" s="62">
        <v>1400</v>
      </c>
      <c r="BA67" s="62">
        <v>1400</v>
      </c>
      <c r="BB67" s="62">
        <v>1400</v>
      </c>
      <c r="BC67" s="62">
        <v>1400</v>
      </c>
      <c r="BD67" s="62">
        <v>1400</v>
      </c>
      <c r="BE67" s="62">
        <v>1400</v>
      </c>
      <c r="BF67" s="62">
        <v>1400</v>
      </c>
      <c r="BG67" s="62">
        <v>1400</v>
      </c>
      <c r="BH67" s="62">
        <v>1400</v>
      </c>
      <c r="BI67" s="62">
        <v>1400</v>
      </c>
      <c r="BJ67" s="62">
        <v>1400</v>
      </c>
      <c r="BK67" s="62">
        <v>1400</v>
      </c>
      <c r="BL67" s="62">
        <v>1400</v>
      </c>
      <c r="BM67" s="62">
        <v>1400</v>
      </c>
      <c r="BN67" s="62">
        <v>1400</v>
      </c>
      <c r="BO67" s="62">
        <v>1400</v>
      </c>
      <c r="BP67" s="62">
        <v>1400</v>
      </c>
      <c r="BQ67" s="62">
        <v>1400</v>
      </c>
      <c r="BR67" s="62">
        <v>1400</v>
      </c>
      <c r="BS67" s="62">
        <v>1400</v>
      </c>
      <c r="BT67" s="62">
        <v>1400</v>
      </c>
      <c r="BU67" s="62"/>
      <c r="BV67" s="62"/>
      <c r="BW67" s="62"/>
      <c r="BX67" s="62"/>
      <c r="BY67" s="62"/>
      <c r="BZ67" s="62"/>
      <c r="CA67" s="62"/>
      <c r="CB67" s="62"/>
      <c r="CC67" s="62"/>
      <c r="CD67" s="62"/>
      <c r="CE67" s="62"/>
      <c r="CF67" s="62"/>
      <c r="CG67" s="62"/>
      <c r="CH67" s="62"/>
      <c r="CI67" s="62"/>
      <c r="CJ67" s="62"/>
      <c r="CK67" s="62"/>
      <c r="CL67" s="62"/>
      <c r="CM67" s="62"/>
      <c r="CN67" s="62"/>
      <c r="CO67" s="62"/>
      <c r="CP67" s="62"/>
      <c r="CQ67" s="62"/>
      <c r="CR67" s="62"/>
      <c r="CS67" s="62"/>
      <c r="CT67" s="62"/>
      <c r="CU67" s="62"/>
      <c r="CV67" s="62"/>
      <c r="CW67" s="62"/>
      <c r="CX67" s="62"/>
      <c r="CY67" s="62"/>
      <c r="CZ67" s="62"/>
      <c r="DA67" s="62"/>
      <c r="DB67" s="62"/>
      <c r="DC67" s="62"/>
      <c r="DD67" s="62"/>
      <c r="DE67" s="62"/>
      <c r="DF67" s="62"/>
      <c r="DG67" s="62"/>
      <c r="DH67" s="62"/>
      <c r="DI67" s="62"/>
      <c r="DJ67" s="62"/>
    </row>
    <row r="68" spans="7:114">
      <c r="G68" s="21"/>
      <c r="H68" s="21"/>
      <c r="I68" s="21"/>
      <c r="J68" s="21" t="str">
        <f xml:space="preserve"> _xll.EPMOlapMemberO("[KEY_FIGURES].[].[RESIDUALEXPOSTFCSTACTUALSADJ]","","Residuals Ex-Post Fcst - Actuals Qty Adj","","000")</f>
        <v>Residuals Ex-Post Fcst - Actuals Qty Adj</v>
      </c>
      <c r="K68" s="30">
        <v>0</v>
      </c>
      <c r="L68" s="30">
        <v>0</v>
      </c>
      <c r="M68" s="30">
        <v>0</v>
      </c>
      <c r="N68" s="30">
        <v>0</v>
      </c>
      <c r="O68" s="30">
        <v>0</v>
      </c>
      <c r="P68" s="30">
        <v>0</v>
      </c>
      <c r="Q68" s="30">
        <v>0</v>
      </c>
      <c r="R68" s="30">
        <v>0</v>
      </c>
      <c r="S68" s="30">
        <v>0</v>
      </c>
      <c r="T68" s="30">
        <v>0</v>
      </c>
      <c r="U68" s="30">
        <v>0</v>
      </c>
      <c r="V68" s="30">
        <v>0</v>
      </c>
      <c r="W68" s="30">
        <v>0</v>
      </c>
      <c r="X68" s="30">
        <v>0</v>
      </c>
      <c r="Y68" s="30">
        <v>0</v>
      </c>
      <c r="Z68" s="30">
        <v>0</v>
      </c>
      <c r="AA68" s="30">
        <v>0</v>
      </c>
      <c r="AB68" s="30">
        <v>0</v>
      </c>
      <c r="AC68" s="30">
        <v>0</v>
      </c>
      <c r="AD68" s="30">
        <v>0</v>
      </c>
      <c r="AE68" s="30">
        <v>0</v>
      </c>
      <c r="AF68" s="30">
        <v>0</v>
      </c>
      <c r="AG68" s="30">
        <v>0</v>
      </c>
      <c r="AH68" s="30">
        <v>0</v>
      </c>
      <c r="AI68" s="30">
        <v>0</v>
      </c>
      <c r="AJ68" s="30">
        <v>0</v>
      </c>
      <c r="AK68" s="30">
        <v>0</v>
      </c>
      <c r="AL68" s="30">
        <v>0</v>
      </c>
      <c r="AM68" s="30">
        <v>0</v>
      </c>
      <c r="AN68" s="30">
        <v>0</v>
      </c>
      <c r="AO68" s="30">
        <v>0</v>
      </c>
      <c r="AP68" s="30">
        <v>0</v>
      </c>
      <c r="AQ68" s="30">
        <v>0</v>
      </c>
      <c r="AR68" s="30">
        <v>0</v>
      </c>
      <c r="AS68" s="30">
        <v>0</v>
      </c>
      <c r="AT68" s="30">
        <v>0</v>
      </c>
      <c r="AU68" s="30">
        <v>0</v>
      </c>
      <c r="AV68" s="30">
        <v>0</v>
      </c>
      <c r="AW68" s="30">
        <v>0</v>
      </c>
      <c r="AX68" s="30">
        <v>0</v>
      </c>
      <c r="AY68" s="30">
        <v>0</v>
      </c>
      <c r="AZ68" s="30">
        <v>0</v>
      </c>
      <c r="BA68" s="30">
        <v>0</v>
      </c>
      <c r="BB68" s="30">
        <v>0</v>
      </c>
      <c r="BC68" s="30">
        <v>0</v>
      </c>
      <c r="BD68" s="30">
        <v>0</v>
      </c>
      <c r="BE68" s="30">
        <v>0</v>
      </c>
      <c r="BF68" s="30">
        <v>0</v>
      </c>
      <c r="BG68" s="30">
        <v>0</v>
      </c>
      <c r="BH68" s="30">
        <v>0</v>
      </c>
      <c r="BI68" s="30">
        <v>0</v>
      </c>
      <c r="BJ68" s="30">
        <v>-1400</v>
      </c>
      <c r="BK68" s="30">
        <v>-1400</v>
      </c>
      <c r="BL68" s="30">
        <v>-1400</v>
      </c>
      <c r="BM68" s="30">
        <v>-1400</v>
      </c>
      <c r="BN68" s="30">
        <v>-1400</v>
      </c>
      <c r="BO68" s="30">
        <v>-1400</v>
      </c>
      <c r="BP68" s="30">
        <v>-1400</v>
      </c>
      <c r="BQ68" s="30">
        <v>-1400</v>
      </c>
      <c r="BR68" s="30">
        <v>-1400</v>
      </c>
      <c r="BS68" s="30">
        <v>-1400</v>
      </c>
      <c r="BT68" s="30">
        <v>-1400</v>
      </c>
      <c r="BU68" s="30"/>
      <c r="BV68" s="30"/>
      <c r="BW68" s="30"/>
      <c r="BX68" s="30"/>
      <c r="BY68" s="30"/>
      <c r="BZ68" s="30"/>
      <c r="CA68" s="30"/>
      <c r="CB68" s="30"/>
      <c r="CC68" s="30"/>
      <c r="CD68" s="30"/>
      <c r="CE68" s="30"/>
      <c r="CF68" s="30"/>
      <c r="CG68" s="30"/>
      <c r="CH68" s="30"/>
      <c r="CI68" s="30"/>
      <c r="CJ68" s="30"/>
      <c r="CK68" s="30"/>
      <c r="CL68" s="30"/>
      <c r="CM68" s="30"/>
      <c r="CN68" s="30"/>
      <c r="CO68" s="30"/>
      <c r="CP68" s="30"/>
      <c r="CQ68" s="30"/>
      <c r="CR68" s="30"/>
      <c r="CS68" s="30"/>
      <c r="CT68" s="30"/>
      <c r="CU68" s="30"/>
      <c r="CV68" s="30"/>
      <c r="CW68" s="30"/>
      <c r="CX68" s="30"/>
      <c r="CY68" s="30"/>
      <c r="CZ68" s="30"/>
      <c r="DA68" s="30"/>
      <c r="DB68" s="30"/>
      <c r="DC68" s="30"/>
      <c r="DD68" s="30"/>
      <c r="DE68" s="30"/>
      <c r="DF68" s="30"/>
      <c r="DG68" s="30"/>
      <c r="DH68" s="30"/>
      <c r="DI68" s="30"/>
      <c r="DJ68" s="30"/>
    </row>
    <row r="69" spans="7:114">
      <c r="G69" s="21"/>
      <c r="H69" s="21"/>
      <c r="I69" s="21"/>
      <c r="J69" s="21" t="str">
        <f xml:space="preserve"> _xll.EPMOlapMemberO("[KEY_FIGURES].[].[STATISTICALFORECASTQTY]","","Statistical Fcst Qty","","000")</f>
        <v>Statistical Fcst Qty</v>
      </c>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0"/>
      <c r="BJ69" s="30">
        <v>1400</v>
      </c>
      <c r="BK69" s="30">
        <v>1400</v>
      </c>
      <c r="BL69" s="30">
        <v>1400</v>
      </c>
      <c r="BM69" s="30">
        <v>1400</v>
      </c>
      <c r="BN69" s="30">
        <v>1400</v>
      </c>
      <c r="BO69" s="30">
        <v>1400</v>
      </c>
      <c r="BP69" s="30">
        <v>1400</v>
      </c>
      <c r="BQ69" s="30">
        <v>1400</v>
      </c>
      <c r="BR69" s="30">
        <v>1400</v>
      </c>
      <c r="BS69" s="30">
        <v>1400</v>
      </c>
      <c r="BT69" s="30">
        <v>1400</v>
      </c>
      <c r="BU69" s="30">
        <v>1400</v>
      </c>
      <c r="BV69" s="30">
        <v>1400</v>
      </c>
      <c r="BW69" s="30">
        <v>1400</v>
      </c>
      <c r="BX69" s="30">
        <v>1400</v>
      </c>
      <c r="BY69" s="30">
        <v>1400</v>
      </c>
      <c r="BZ69" s="30">
        <v>1400</v>
      </c>
      <c r="CA69" s="30">
        <v>1400</v>
      </c>
      <c r="CB69" s="30">
        <v>1400</v>
      </c>
      <c r="CC69" s="30">
        <v>1400</v>
      </c>
      <c r="CD69" s="30">
        <v>1400</v>
      </c>
      <c r="CE69" s="30">
        <v>1400</v>
      </c>
      <c r="CF69" s="30">
        <v>1400</v>
      </c>
      <c r="CG69" s="30">
        <v>1400</v>
      </c>
      <c r="CH69" s="30">
        <v>1400</v>
      </c>
      <c r="CI69" s="30">
        <v>1400</v>
      </c>
      <c r="CJ69" s="30">
        <v>1400</v>
      </c>
      <c r="CK69" s="30">
        <v>1400</v>
      </c>
      <c r="CL69" s="30">
        <v>1400</v>
      </c>
      <c r="CM69" s="30">
        <v>1400</v>
      </c>
      <c r="CN69" s="30">
        <v>1400</v>
      </c>
      <c r="CO69" s="30">
        <v>1400</v>
      </c>
      <c r="CP69" s="30">
        <v>1400</v>
      </c>
      <c r="CQ69" s="30">
        <v>1400</v>
      </c>
      <c r="CR69" s="30">
        <v>1400</v>
      </c>
      <c r="CS69" s="30">
        <v>1400</v>
      </c>
      <c r="CT69" s="30">
        <v>1400</v>
      </c>
      <c r="CU69" s="30">
        <v>1400</v>
      </c>
      <c r="CV69" s="30">
        <v>1400</v>
      </c>
      <c r="CW69" s="30">
        <v>1400</v>
      </c>
      <c r="CX69" s="30">
        <v>1400</v>
      </c>
      <c r="CY69" s="30">
        <v>1400</v>
      </c>
      <c r="CZ69" s="30">
        <v>1400</v>
      </c>
      <c r="DA69" s="30">
        <v>1400</v>
      </c>
      <c r="DB69" s="30">
        <v>1400</v>
      </c>
      <c r="DC69" s="30">
        <v>1400</v>
      </c>
      <c r="DD69" s="30">
        <v>1400</v>
      </c>
      <c r="DE69" s="30">
        <v>1400</v>
      </c>
      <c r="DF69" s="30">
        <v>1400</v>
      </c>
      <c r="DG69" s="30">
        <v>1400</v>
      </c>
      <c r="DH69" s="30">
        <v>1400</v>
      </c>
      <c r="DI69" s="30">
        <v>1400</v>
      </c>
      <c r="DJ69" s="30"/>
    </row>
    <row r="70" spans="7:114">
      <c r="G70" s="21"/>
      <c r="H70" s="21" t="str">
        <f xml:space="preserve"> _xll.EPMOlapMemberO("[LOCID].[].[6210]","","6210","","000")</f>
        <v>6210</v>
      </c>
      <c r="I70" s="21" t="str">
        <f xml:space="preserve"> _xll.EPMOlapMemberO("[CUSTID].[].[0062100001]","","0062100001","","000")</f>
        <v>0062100001</v>
      </c>
      <c r="J70" s="21" t="str">
        <f xml:space="preserve"> _xll.EPMOlapMemberO("[KEY_FIGURES].[].[STATISTICALEXPOSTFORECASTQTY]","","Ex-Post Fcst Qty","","000")</f>
        <v>Ex-Post Fcst Qty</v>
      </c>
      <c r="K70" s="30">
        <v>473.85332199999999</v>
      </c>
      <c r="L70" s="30">
        <v>575.38010699999995</v>
      </c>
      <c r="M70" s="30">
        <v>583.41309799999999</v>
      </c>
      <c r="N70" s="30">
        <v>695.77629000000002</v>
      </c>
      <c r="O70" s="30">
        <v>584.56326100000001</v>
      </c>
      <c r="P70" s="30">
        <v>697.28497200000004</v>
      </c>
      <c r="Q70" s="30">
        <v>657.01049799999998</v>
      </c>
      <c r="R70" s="30">
        <v>555.39373599999999</v>
      </c>
      <c r="S70" s="30">
        <v>697.65481999999997</v>
      </c>
      <c r="T70" s="30">
        <v>585.32417899999996</v>
      </c>
      <c r="U70" s="30">
        <v>505.34242899999998</v>
      </c>
      <c r="V70" s="30">
        <v>629.84870999999998</v>
      </c>
      <c r="W70" s="30">
        <v>532.07987700000001</v>
      </c>
      <c r="X70" s="30">
        <v>554.24525500000004</v>
      </c>
      <c r="Y70" s="30">
        <v>618.60018600000001</v>
      </c>
      <c r="Z70" s="30">
        <v>677.25819000000001</v>
      </c>
      <c r="AA70" s="30">
        <v>584.79538500000001</v>
      </c>
      <c r="AB70" s="30">
        <v>712.03083800000002</v>
      </c>
      <c r="AC70" s="30">
        <v>584.89149399999997</v>
      </c>
      <c r="AD70" s="30">
        <v>546.159583</v>
      </c>
      <c r="AE70" s="30">
        <v>616.48768900000005</v>
      </c>
      <c r="AF70" s="30">
        <v>604.88709400000005</v>
      </c>
      <c r="AG70" s="30">
        <v>488.25840499999998</v>
      </c>
      <c r="AH70" s="30">
        <v>568.77496499999995</v>
      </c>
      <c r="AI70" s="30">
        <v>447.65655199999998</v>
      </c>
      <c r="AJ70" s="30">
        <v>594.64800200000002</v>
      </c>
      <c r="AK70" s="30">
        <v>624.74862800000005</v>
      </c>
      <c r="AL70" s="30">
        <v>535.249684</v>
      </c>
      <c r="AM70" s="30">
        <v>601.66351799999995</v>
      </c>
      <c r="AN70" s="30">
        <v>536.68291899999997</v>
      </c>
      <c r="AO70" s="30">
        <v>540.49271899999997</v>
      </c>
      <c r="AP70" s="30">
        <v>545.70700299999999</v>
      </c>
      <c r="AQ70" s="30">
        <v>525.22291099999995</v>
      </c>
      <c r="AR70" s="30">
        <v>559.17831100000001</v>
      </c>
      <c r="AS70" s="30">
        <v>678.96098099999995</v>
      </c>
      <c r="AT70" s="30">
        <v>592.30597999999998</v>
      </c>
      <c r="AU70" s="30">
        <v>662.96691299999998</v>
      </c>
      <c r="AV70" s="30">
        <v>552.499505</v>
      </c>
      <c r="AW70" s="30">
        <v>678.07646599999998</v>
      </c>
      <c r="AX70" s="30">
        <v>722.99370299999998</v>
      </c>
      <c r="AY70" s="30">
        <v>546.78208500000005</v>
      </c>
      <c r="AZ70" s="30">
        <v>518.72075900000004</v>
      </c>
      <c r="BA70" s="30">
        <v>482.38081199999999</v>
      </c>
      <c r="BB70" s="30">
        <v>444.82696499999997</v>
      </c>
      <c r="BC70" s="30">
        <v>579.41685299999995</v>
      </c>
      <c r="BD70" s="30">
        <v>699.17193199999997</v>
      </c>
      <c r="BE70" s="30">
        <v>537.89820899999995</v>
      </c>
      <c r="BF70" s="30">
        <v>510.27465999999998</v>
      </c>
      <c r="BG70" s="30">
        <v>509.34981099999999</v>
      </c>
      <c r="BH70" s="30">
        <v>637.44009100000005</v>
      </c>
      <c r="BI70" s="30">
        <v>651.134004</v>
      </c>
      <c r="BJ70" s="30"/>
      <c r="BK70" s="30"/>
      <c r="BL70" s="30"/>
      <c r="BM70" s="30"/>
      <c r="BN70" s="30"/>
      <c r="BO70" s="30"/>
      <c r="BP70" s="30"/>
      <c r="BQ70" s="30"/>
      <c r="BR70" s="30"/>
      <c r="BS70" s="30"/>
      <c r="BT70" s="30"/>
      <c r="BU70" s="30"/>
      <c r="BV70" s="30"/>
      <c r="BW70" s="30"/>
      <c r="BX70" s="30"/>
      <c r="BY70" s="30"/>
      <c r="BZ70" s="30"/>
      <c r="CA70" s="30"/>
      <c r="CB70" s="30"/>
      <c r="CC70" s="30"/>
      <c r="CD70" s="30"/>
      <c r="CE70" s="30"/>
      <c r="CF70" s="30"/>
      <c r="CG70" s="30"/>
      <c r="CH70" s="30"/>
      <c r="CI70" s="30"/>
      <c r="CJ70" s="30"/>
      <c r="CK70" s="30"/>
      <c r="CL70" s="30"/>
      <c r="CM70" s="30"/>
      <c r="CN70" s="30"/>
      <c r="CO70" s="30"/>
      <c r="CP70" s="30"/>
      <c r="CQ70" s="30"/>
      <c r="CR70" s="30"/>
      <c r="CS70" s="30"/>
      <c r="CT70" s="30"/>
      <c r="CU70" s="30"/>
      <c r="CV70" s="30"/>
      <c r="CW70" s="30"/>
      <c r="CX70" s="30"/>
      <c r="CY70" s="30"/>
      <c r="CZ70" s="30"/>
      <c r="DA70" s="30"/>
      <c r="DB70" s="30"/>
      <c r="DC70" s="30"/>
      <c r="DD70" s="30"/>
      <c r="DE70" s="30"/>
      <c r="DF70" s="30"/>
      <c r="DG70" s="30"/>
      <c r="DH70" s="30"/>
      <c r="DI70" s="30"/>
      <c r="DJ70" s="30"/>
    </row>
    <row r="71" spans="7:114">
      <c r="G71" s="42"/>
      <c r="H71" s="42"/>
      <c r="I71" s="42"/>
      <c r="J71" s="42" t="str">
        <f xml:space="preserve"> _xll.EPMOlapMemberO("[KEY_FIGURES].[].[ADJUSTEDACTUALSQTY]","","Actuals Qty Adj.","","000")</f>
        <v>Actuals Qty Adj.</v>
      </c>
      <c r="K71" s="62">
        <v>485</v>
      </c>
      <c r="L71" s="62">
        <v>555</v>
      </c>
      <c r="M71" s="62">
        <v>565</v>
      </c>
      <c r="N71" s="62">
        <v>733</v>
      </c>
      <c r="O71" s="62">
        <v>602</v>
      </c>
      <c r="P71" s="62">
        <v>674</v>
      </c>
      <c r="Q71" s="62">
        <v>665</v>
      </c>
      <c r="R71" s="62">
        <v>552</v>
      </c>
      <c r="S71" s="62">
        <v>703</v>
      </c>
      <c r="T71" s="62">
        <v>599</v>
      </c>
      <c r="U71" s="62">
        <v>456</v>
      </c>
      <c r="V71" s="62">
        <v>609</v>
      </c>
      <c r="W71" s="62">
        <v>494</v>
      </c>
      <c r="X71" s="62">
        <v>560</v>
      </c>
      <c r="Y71" s="62">
        <v>644</v>
      </c>
      <c r="Z71" s="62">
        <v>668</v>
      </c>
      <c r="AA71" s="62">
        <v>552</v>
      </c>
      <c r="AB71" s="62">
        <v>772</v>
      </c>
      <c r="AC71" s="62">
        <v>632</v>
      </c>
      <c r="AD71" s="62">
        <v>546</v>
      </c>
      <c r="AE71" s="62">
        <v>621</v>
      </c>
      <c r="AF71" s="62">
        <v>601</v>
      </c>
      <c r="AG71" s="62">
        <v>466</v>
      </c>
      <c r="AH71" s="62">
        <v>602</v>
      </c>
      <c r="AI71" s="62">
        <v>425</v>
      </c>
      <c r="AJ71" s="62">
        <v>585</v>
      </c>
      <c r="AK71" s="62">
        <v>625</v>
      </c>
      <c r="AL71" s="62">
        <v>518</v>
      </c>
      <c r="AM71" s="62">
        <v>626</v>
      </c>
      <c r="AN71" s="62">
        <v>509</v>
      </c>
      <c r="AO71" s="62">
        <v>531</v>
      </c>
      <c r="AP71" s="62">
        <v>620</v>
      </c>
      <c r="AQ71" s="62">
        <v>535</v>
      </c>
      <c r="AR71" s="62">
        <v>564</v>
      </c>
      <c r="AS71" s="62">
        <v>698</v>
      </c>
      <c r="AT71" s="62">
        <v>572</v>
      </c>
      <c r="AU71" s="62">
        <v>672</v>
      </c>
      <c r="AV71" s="62">
        <v>552</v>
      </c>
      <c r="AW71" s="62">
        <v>682</v>
      </c>
      <c r="AX71" s="62">
        <v>710</v>
      </c>
      <c r="AY71" s="62">
        <v>538</v>
      </c>
      <c r="AZ71" s="62">
        <v>497</v>
      </c>
      <c r="BA71" s="62">
        <v>477</v>
      </c>
      <c r="BB71" s="62">
        <v>420</v>
      </c>
      <c r="BC71" s="62">
        <v>575</v>
      </c>
      <c r="BD71" s="62">
        <v>703</v>
      </c>
      <c r="BE71" s="62">
        <v>538</v>
      </c>
      <c r="BF71" s="62">
        <v>532</v>
      </c>
      <c r="BG71" s="62">
        <v>536</v>
      </c>
      <c r="BH71" s="62">
        <v>629</v>
      </c>
      <c r="BI71" s="62">
        <v>675</v>
      </c>
      <c r="BJ71" s="62">
        <v>605</v>
      </c>
      <c r="BK71" s="62">
        <v>542</v>
      </c>
      <c r="BL71" s="62">
        <v>603</v>
      </c>
      <c r="BM71" s="62">
        <v>542</v>
      </c>
      <c r="BN71" s="62">
        <v>577</v>
      </c>
      <c r="BO71" s="62">
        <v>599</v>
      </c>
      <c r="BP71" s="62">
        <v>573</v>
      </c>
      <c r="BQ71" s="62">
        <v>584</v>
      </c>
      <c r="BR71" s="62">
        <v>522</v>
      </c>
      <c r="BS71" s="62">
        <v>542</v>
      </c>
      <c r="BT71" s="62">
        <v>688</v>
      </c>
      <c r="BU71" s="62"/>
      <c r="BV71" s="62"/>
      <c r="BW71" s="62"/>
      <c r="BX71" s="62"/>
      <c r="BY71" s="62"/>
      <c r="BZ71" s="62"/>
      <c r="CA71" s="62"/>
      <c r="CB71" s="62"/>
      <c r="CC71" s="62"/>
      <c r="CD71" s="62"/>
      <c r="CE71" s="62"/>
      <c r="CF71" s="62"/>
      <c r="CG71" s="62"/>
      <c r="CH71" s="62"/>
      <c r="CI71" s="62"/>
      <c r="CJ71" s="62"/>
      <c r="CK71" s="62"/>
      <c r="CL71" s="62"/>
      <c r="CM71" s="62"/>
      <c r="CN71" s="62"/>
      <c r="CO71" s="62"/>
      <c r="CP71" s="62"/>
      <c r="CQ71" s="62"/>
      <c r="CR71" s="62"/>
      <c r="CS71" s="62"/>
      <c r="CT71" s="62"/>
      <c r="CU71" s="62"/>
      <c r="CV71" s="62"/>
      <c r="CW71" s="62"/>
      <c r="CX71" s="62"/>
      <c r="CY71" s="62"/>
      <c r="CZ71" s="62"/>
      <c r="DA71" s="62"/>
      <c r="DB71" s="62"/>
      <c r="DC71" s="62"/>
      <c r="DD71" s="62"/>
      <c r="DE71" s="62"/>
      <c r="DF71" s="62"/>
      <c r="DG71" s="62"/>
      <c r="DH71" s="62"/>
      <c r="DI71" s="62"/>
      <c r="DJ71" s="62"/>
    </row>
    <row r="72" spans="7:114">
      <c r="G72" s="21"/>
      <c r="H72" s="21"/>
      <c r="I72" s="21"/>
      <c r="J72" s="21" t="str">
        <f xml:space="preserve"> _xll.EPMOlapMemberO("[KEY_FIGURES].[].[RESIDUALEXPOSTFCSTACTUALSADJ]","","Residuals Ex-Post Fcst - Actuals Qty Adj","","000")</f>
        <v>Residuals Ex-Post Fcst - Actuals Qty Adj</v>
      </c>
      <c r="K72" s="30">
        <v>-11.146678</v>
      </c>
      <c r="L72" s="30">
        <v>20.380106999999999</v>
      </c>
      <c r="M72" s="30">
        <v>18.413098000000002</v>
      </c>
      <c r="N72" s="30">
        <v>-37.223709999999997</v>
      </c>
      <c r="O72" s="30">
        <v>-17.436738999999999</v>
      </c>
      <c r="P72" s="30">
        <v>23.284972</v>
      </c>
      <c r="Q72" s="30">
        <v>-7.9895019999999999</v>
      </c>
      <c r="R72" s="30">
        <v>3.3937360000000001</v>
      </c>
      <c r="S72" s="30">
        <v>-5.34518</v>
      </c>
      <c r="T72" s="30">
        <v>-13.675820999999999</v>
      </c>
      <c r="U72" s="30">
        <v>49.342429000000003</v>
      </c>
      <c r="V72" s="30">
        <v>20.848710000000001</v>
      </c>
      <c r="W72" s="30">
        <v>38.079877000000003</v>
      </c>
      <c r="X72" s="30">
        <v>-5.7547449999999998</v>
      </c>
      <c r="Y72" s="30">
        <v>-25.399813999999999</v>
      </c>
      <c r="Z72" s="30">
        <v>9.2581900000000008</v>
      </c>
      <c r="AA72" s="30">
        <v>32.795385000000003</v>
      </c>
      <c r="AB72" s="30">
        <v>-59.969161999999997</v>
      </c>
      <c r="AC72" s="30">
        <v>-47.108505999999998</v>
      </c>
      <c r="AD72" s="30">
        <v>0.159583</v>
      </c>
      <c r="AE72" s="30">
        <v>-4.5123110000000004</v>
      </c>
      <c r="AF72" s="30">
        <v>3.8870939999999998</v>
      </c>
      <c r="AG72" s="30">
        <v>22.258405</v>
      </c>
      <c r="AH72" s="30">
        <v>-33.225034999999998</v>
      </c>
      <c r="AI72" s="30">
        <v>22.656552000000001</v>
      </c>
      <c r="AJ72" s="30">
        <v>9.648002</v>
      </c>
      <c r="AK72" s="30">
        <v>-0.25137199999999998</v>
      </c>
      <c r="AL72" s="30">
        <v>17.249683999999998</v>
      </c>
      <c r="AM72" s="30">
        <v>-24.336482</v>
      </c>
      <c r="AN72" s="30">
        <v>27.682918999999998</v>
      </c>
      <c r="AO72" s="30">
        <v>9.4927189999999992</v>
      </c>
      <c r="AP72" s="30">
        <v>-74.292997</v>
      </c>
      <c r="AQ72" s="30">
        <v>-9.7770890000000001</v>
      </c>
      <c r="AR72" s="30">
        <v>-4.8216890000000001</v>
      </c>
      <c r="AS72" s="30">
        <v>-19.039019</v>
      </c>
      <c r="AT72" s="30">
        <v>20.305980000000002</v>
      </c>
      <c r="AU72" s="30">
        <v>-9.0330870000000001</v>
      </c>
      <c r="AV72" s="30">
        <v>0.49950499999999998</v>
      </c>
      <c r="AW72" s="30">
        <v>-3.9235340000000001</v>
      </c>
      <c r="AX72" s="30">
        <v>12.993703</v>
      </c>
      <c r="AY72" s="30">
        <v>8.7820850000000004</v>
      </c>
      <c r="AZ72" s="30">
        <v>21.720759000000001</v>
      </c>
      <c r="BA72" s="30">
        <v>5.3808119999999997</v>
      </c>
      <c r="BB72" s="30">
        <v>24.826965000000001</v>
      </c>
      <c r="BC72" s="30">
        <v>4.4168529999999997</v>
      </c>
      <c r="BD72" s="30">
        <v>-3.828068</v>
      </c>
      <c r="BE72" s="30">
        <v>-0.10179100000000001</v>
      </c>
      <c r="BF72" s="30">
        <v>-21.725339999999999</v>
      </c>
      <c r="BG72" s="30">
        <v>-26.650189000000001</v>
      </c>
      <c r="BH72" s="30">
        <v>8.4400910000000007</v>
      </c>
      <c r="BI72" s="30">
        <v>-23.865995999999999</v>
      </c>
      <c r="BJ72" s="30">
        <v>-605</v>
      </c>
      <c r="BK72" s="30">
        <v>-542</v>
      </c>
      <c r="BL72" s="30">
        <v>-603</v>
      </c>
      <c r="BM72" s="30">
        <v>-542</v>
      </c>
      <c r="BN72" s="30">
        <v>-577</v>
      </c>
      <c r="BO72" s="30">
        <v>-599</v>
      </c>
      <c r="BP72" s="30">
        <v>-573</v>
      </c>
      <c r="BQ72" s="30">
        <v>-584</v>
      </c>
      <c r="BR72" s="30">
        <v>-522</v>
      </c>
      <c r="BS72" s="30">
        <v>-542</v>
      </c>
      <c r="BT72" s="30">
        <v>-688</v>
      </c>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row>
    <row r="73" spans="7:114">
      <c r="G73" s="21"/>
      <c r="H73" s="21"/>
      <c r="I73" s="21"/>
      <c r="J73" s="21" t="str">
        <f xml:space="preserve"> _xll.EPMOlapMemberO("[KEY_FIGURES].[].[STATISTICALFORECASTQTY]","","Statistical Fcst Qty","","000")</f>
        <v>Statistical Fcst Qty</v>
      </c>
      <c r="K73" s="30"/>
      <c r="L73" s="30"/>
      <c r="M73" s="30"/>
      <c r="N73" s="30"/>
      <c r="O73" s="30"/>
      <c r="P73" s="30"/>
      <c r="Q73" s="30"/>
      <c r="R73" s="30"/>
      <c r="S73" s="30"/>
      <c r="T73" s="30"/>
      <c r="U73" s="30"/>
      <c r="V73" s="30"/>
      <c r="W73" s="30"/>
      <c r="X73" s="30"/>
      <c r="Y73" s="30"/>
      <c r="Z73" s="30"/>
      <c r="AA73" s="30"/>
      <c r="AB73" s="30"/>
      <c r="AC73" s="30"/>
      <c r="AD73" s="30"/>
      <c r="AE73" s="30"/>
      <c r="AF73" s="30"/>
      <c r="AG73" s="30"/>
      <c r="AH73" s="30"/>
      <c r="AI73" s="30"/>
      <c r="AJ73" s="30"/>
      <c r="AK73" s="30"/>
      <c r="AL73" s="30"/>
      <c r="AM73" s="30"/>
      <c r="AN73" s="30"/>
      <c r="AO73" s="30"/>
      <c r="AP73" s="30"/>
      <c r="AQ73" s="30"/>
      <c r="AR73" s="30"/>
      <c r="AS73" s="30"/>
      <c r="AT73" s="30"/>
      <c r="AU73" s="30"/>
      <c r="AV73" s="30"/>
      <c r="AW73" s="30"/>
      <c r="AX73" s="30"/>
      <c r="AY73" s="30"/>
      <c r="AZ73" s="30"/>
      <c r="BA73" s="30"/>
      <c r="BB73" s="30"/>
      <c r="BC73" s="30"/>
      <c r="BD73" s="30"/>
      <c r="BE73" s="30"/>
      <c r="BF73" s="30"/>
      <c r="BG73" s="30"/>
      <c r="BH73" s="30"/>
      <c r="BI73" s="30"/>
      <c r="BJ73" s="30">
        <v>540.37685499999998</v>
      </c>
      <c r="BK73" s="30">
        <v>419.68374299999999</v>
      </c>
      <c r="BL73" s="30">
        <v>493.84766500000001</v>
      </c>
      <c r="BM73" s="30">
        <v>540.12447699999996</v>
      </c>
      <c r="BN73" s="30">
        <v>628.79253100000005</v>
      </c>
      <c r="BO73" s="30">
        <v>603.620724</v>
      </c>
      <c r="BP73" s="30">
        <v>646.08439499999997</v>
      </c>
      <c r="BQ73" s="30">
        <v>467.72278599999999</v>
      </c>
      <c r="BR73" s="30">
        <v>490.31622700000003</v>
      </c>
      <c r="BS73" s="30">
        <v>501.47193399999998</v>
      </c>
      <c r="BT73" s="30">
        <v>626.41507200000001</v>
      </c>
      <c r="BU73" s="30">
        <v>593.78489500000001</v>
      </c>
      <c r="BV73" s="30">
        <v>676.11666400000001</v>
      </c>
      <c r="BW73" s="30">
        <v>475.88113900000002</v>
      </c>
      <c r="BX73" s="30">
        <v>512.78731500000004</v>
      </c>
      <c r="BY73" s="30">
        <v>570.12143800000001</v>
      </c>
      <c r="BZ73" s="30">
        <v>446.89734800000002</v>
      </c>
      <c r="CA73" s="30">
        <v>564.34564799999998</v>
      </c>
      <c r="CB73" s="30">
        <v>617.46608100000003</v>
      </c>
      <c r="CC73" s="30">
        <v>669.49139200000002</v>
      </c>
      <c r="CD73" s="30">
        <v>522.44815000000006</v>
      </c>
      <c r="CE73" s="30">
        <v>659.27541299999996</v>
      </c>
      <c r="CF73" s="30">
        <v>522.59210900000005</v>
      </c>
      <c r="CG73" s="30">
        <v>464.041944</v>
      </c>
      <c r="CH73" s="30">
        <v>468.206458</v>
      </c>
      <c r="CI73" s="30">
        <v>637.08174899999995</v>
      </c>
      <c r="CJ73" s="30">
        <v>448.753849</v>
      </c>
      <c r="CK73" s="30">
        <v>597.48240099999998</v>
      </c>
      <c r="CL73" s="30">
        <v>455.263869</v>
      </c>
      <c r="CM73" s="30">
        <v>465.924215</v>
      </c>
      <c r="CN73" s="30">
        <v>491.888013</v>
      </c>
      <c r="CO73" s="30">
        <v>464.39088700000002</v>
      </c>
      <c r="CP73" s="30">
        <v>525.64433399999996</v>
      </c>
      <c r="CQ73" s="30">
        <v>640.763915</v>
      </c>
      <c r="CR73" s="30">
        <v>622.20637599999998</v>
      </c>
      <c r="CS73" s="30">
        <v>519.99053000000004</v>
      </c>
      <c r="CT73" s="30">
        <v>485.37170900000001</v>
      </c>
      <c r="CU73" s="30">
        <v>536.83692799999994</v>
      </c>
      <c r="CV73" s="30">
        <v>595.68433300000004</v>
      </c>
      <c r="CW73" s="30">
        <v>728.34179300000005</v>
      </c>
      <c r="CX73" s="30">
        <v>547.91711999999995</v>
      </c>
      <c r="CY73" s="30">
        <v>544.87832600000002</v>
      </c>
      <c r="CZ73" s="30">
        <v>726.83197700000005</v>
      </c>
      <c r="DA73" s="30">
        <v>468.47340000000003</v>
      </c>
      <c r="DB73" s="30">
        <v>604.98722799999996</v>
      </c>
      <c r="DC73" s="30">
        <v>470.42704800000001</v>
      </c>
      <c r="DD73" s="30">
        <v>526.99403600000005</v>
      </c>
      <c r="DE73" s="30">
        <v>612.33389799999998</v>
      </c>
      <c r="DF73" s="30">
        <v>506.05328100000003</v>
      </c>
      <c r="DG73" s="30">
        <v>628.723705</v>
      </c>
      <c r="DH73" s="30">
        <v>537.90057300000001</v>
      </c>
      <c r="DI73" s="30">
        <v>543.53521799999999</v>
      </c>
      <c r="DJ73" s="30"/>
    </row>
    <row r="74" spans="7:114">
      <c r="G74" s="21"/>
      <c r="H74" s="21"/>
      <c r="I74" s="21" t="str">
        <f xml:space="preserve"> _xll.EPMOlapMemberO("[CUSTID].[].[0062100003]","","0062100003","","000")</f>
        <v>0062100003</v>
      </c>
      <c r="J74" s="21" t="str">
        <f xml:space="preserve"> _xll.EPMOlapMemberO("[KEY_FIGURES].[].[STATISTICALEXPOSTFORECASTQTY]","","Ex-Post Fcst Qty","","000")</f>
        <v>Ex-Post Fcst Qty</v>
      </c>
      <c r="K74" s="30">
        <v>892.98579199999995</v>
      </c>
      <c r="L74" s="30">
        <v>890.06023800000003</v>
      </c>
      <c r="M74" s="30">
        <v>934.46855800000003</v>
      </c>
      <c r="N74" s="30">
        <v>918.85776399999997</v>
      </c>
      <c r="O74" s="30">
        <v>872.54351099999997</v>
      </c>
      <c r="P74" s="30">
        <v>830.35297600000001</v>
      </c>
      <c r="Q74" s="30">
        <v>832.49761100000001</v>
      </c>
      <c r="R74" s="30">
        <v>829.863743</v>
      </c>
      <c r="S74" s="30">
        <v>838.73898399999996</v>
      </c>
      <c r="T74" s="30">
        <v>844.53067399999998</v>
      </c>
      <c r="U74" s="30">
        <v>862.96658400000001</v>
      </c>
      <c r="V74" s="30">
        <v>846.32875899999999</v>
      </c>
      <c r="W74" s="30">
        <v>845.38143400000001</v>
      </c>
      <c r="X74" s="30">
        <v>829.71237299999996</v>
      </c>
      <c r="Y74" s="30">
        <v>843.11581699999999</v>
      </c>
      <c r="Z74" s="30">
        <v>836.16557299999999</v>
      </c>
      <c r="AA74" s="30">
        <v>836.820697</v>
      </c>
      <c r="AB74" s="30">
        <v>825.37958600000002</v>
      </c>
      <c r="AC74" s="30">
        <v>827.27113199999997</v>
      </c>
      <c r="AD74" s="30">
        <v>821.81308100000001</v>
      </c>
      <c r="AE74" s="30">
        <v>837.96760400000005</v>
      </c>
      <c r="AF74" s="30">
        <v>868.49205199999994</v>
      </c>
      <c r="AG74" s="30">
        <v>848.46543799999995</v>
      </c>
      <c r="AH74" s="30">
        <v>834.04367100000002</v>
      </c>
      <c r="AI74" s="30">
        <v>858.29016799999999</v>
      </c>
      <c r="AJ74" s="30">
        <v>849.90378299999998</v>
      </c>
      <c r="AK74" s="30">
        <v>864.79640300000005</v>
      </c>
      <c r="AL74" s="30">
        <v>872.00485200000003</v>
      </c>
      <c r="AM74" s="30">
        <v>875.60015799999996</v>
      </c>
      <c r="AN74" s="30">
        <v>879.89827400000001</v>
      </c>
      <c r="AO74" s="30">
        <v>879.23781099999997</v>
      </c>
      <c r="AP74" s="30">
        <v>860.31953299999998</v>
      </c>
      <c r="AQ74" s="30">
        <v>872.08340299999998</v>
      </c>
      <c r="AR74" s="30">
        <v>860.28583900000001</v>
      </c>
      <c r="AS74" s="30">
        <v>857.00071000000003</v>
      </c>
      <c r="AT74" s="30">
        <v>856.91702899999996</v>
      </c>
      <c r="AU74" s="30">
        <v>850.56875600000001</v>
      </c>
      <c r="AV74" s="30">
        <v>852.10999900000002</v>
      </c>
      <c r="AW74" s="30">
        <v>860.46292100000005</v>
      </c>
      <c r="AX74" s="30">
        <v>868.61908900000003</v>
      </c>
      <c r="AY74" s="30">
        <v>863.80091100000004</v>
      </c>
      <c r="AZ74" s="30">
        <v>864.15204400000005</v>
      </c>
      <c r="BA74" s="30">
        <v>850.92718000000002</v>
      </c>
      <c r="BB74" s="30">
        <v>860.63332800000001</v>
      </c>
      <c r="BC74" s="30">
        <v>870.28042800000003</v>
      </c>
      <c r="BD74" s="30">
        <v>879.03720499999997</v>
      </c>
      <c r="BE74" s="30">
        <v>873.180609</v>
      </c>
      <c r="BF74" s="30">
        <v>870.32238600000005</v>
      </c>
      <c r="BG74" s="30">
        <v>867.95403399999998</v>
      </c>
      <c r="BH74" s="30">
        <v>893.04423799999995</v>
      </c>
      <c r="BI74" s="30">
        <v>896.803493</v>
      </c>
      <c r="BJ74" s="30"/>
      <c r="BK74" s="30"/>
      <c r="BL74" s="30"/>
      <c r="BM74" s="30"/>
      <c r="BN74" s="30"/>
      <c r="BO74" s="30"/>
      <c r="BP74" s="30"/>
      <c r="BQ74" s="30"/>
      <c r="BR74" s="30"/>
      <c r="BS74" s="30"/>
      <c r="BT74" s="30"/>
      <c r="BU74" s="30"/>
      <c r="BV74" s="30"/>
      <c r="BW74" s="30"/>
      <c r="BX74" s="30"/>
      <c r="BY74" s="30"/>
      <c r="BZ74" s="30"/>
      <c r="CA74" s="30"/>
      <c r="CB74" s="30"/>
      <c r="CC74" s="30"/>
      <c r="CD74" s="30"/>
      <c r="CE74" s="30"/>
      <c r="CF74" s="30"/>
      <c r="CG74" s="30"/>
      <c r="CH74" s="30"/>
      <c r="CI74" s="30"/>
      <c r="CJ74" s="30"/>
      <c r="CK74" s="30"/>
      <c r="CL74" s="30"/>
      <c r="CM74" s="30"/>
      <c r="CN74" s="30"/>
      <c r="CO74" s="30"/>
      <c r="CP74" s="30"/>
      <c r="CQ74" s="30"/>
      <c r="CR74" s="30"/>
      <c r="CS74" s="30"/>
      <c r="CT74" s="30"/>
      <c r="CU74" s="30"/>
      <c r="CV74" s="30"/>
      <c r="CW74" s="30"/>
      <c r="CX74" s="30"/>
      <c r="CY74" s="30"/>
      <c r="CZ74" s="30"/>
      <c r="DA74" s="30"/>
      <c r="DB74" s="30"/>
      <c r="DC74" s="30"/>
      <c r="DD74" s="30"/>
      <c r="DE74" s="30"/>
      <c r="DF74" s="30"/>
      <c r="DG74" s="30"/>
      <c r="DH74" s="30"/>
      <c r="DI74" s="30"/>
      <c r="DJ74" s="30"/>
    </row>
    <row r="75" spans="7:114">
      <c r="G75" s="42"/>
      <c r="H75" s="42"/>
      <c r="I75" s="42"/>
      <c r="J75" s="42" t="str">
        <f xml:space="preserve"> _xll.EPMOlapMemberO("[KEY_FIGURES].[].[ADJUSTEDACTUALSQTY]","","Actuals Qty Adj.","","000")</f>
        <v>Actuals Qty Adj.</v>
      </c>
      <c r="K75" s="62">
        <v>858</v>
      </c>
      <c r="L75" s="62">
        <v>2142</v>
      </c>
      <c r="M75" s="62">
        <v>309</v>
      </c>
      <c r="N75" s="62">
        <v>365</v>
      </c>
      <c r="O75" s="62">
        <v>368</v>
      </c>
      <c r="P75" s="62">
        <v>856</v>
      </c>
      <c r="Q75" s="62">
        <v>801</v>
      </c>
      <c r="R75" s="62">
        <v>936</v>
      </c>
      <c r="S75" s="62">
        <v>908</v>
      </c>
      <c r="T75" s="62">
        <v>1065</v>
      </c>
      <c r="U75" s="62">
        <v>664</v>
      </c>
      <c r="V75" s="62">
        <v>835</v>
      </c>
      <c r="W75" s="62">
        <v>658</v>
      </c>
      <c r="X75" s="62">
        <v>990</v>
      </c>
      <c r="Y75" s="62">
        <v>760</v>
      </c>
      <c r="Z75" s="62">
        <v>844</v>
      </c>
      <c r="AA75" s="62">
        <v>700</v>
      </c>
      <c r="AB75" s="62">
        <v>848</v>
      </c>
      <c r="AC75" s="62">
        <v>762</v>
      </c>
      <c r="AD75" s="62">
        <v>1015</v>
      </c>
      <c r="AE75" s="62">
        <v>1203</v>
      </c>
      <c r="AF75" s="62">
        <v>629</v>
      </c>
      <c r="AG75" s="62">
        <v>676</v>
      </c>
      <c r="AH75" s="62">
        <v>1124</v>
      </c>
      <c r="AI75" s="62">
        <v>758</v>
      </c>
      <c r="AJ75" s="62">
        <v>1028</v>
      </c>
      <c r="AK75" s="62">
        <v>951</v>
      </c>
      <c r="AL75" s="62">
        <v>915</v>
      </c>
      <c r="AM75" s="62">
        <v>927</v>
      </c>
      <c r="AN75" s="62">
        <v>872</v>
      </c>
      <c r="AO75" s="62">
        <v>653</v>
      </c>
      <c r="AP75" s="62">
        <v>1001</v>
      </c>
      <c r="AQ75" s="62">
        <v>731</v>
      </c>
      <c r="AR75" s="62">
        <v>821</v>
      </c>
      <c r="AS75" s="62">
        <v>856</v>
      </c>
      <c r="AT75" s="62">
        <v>781</v>
      </c>
      <c r="AU75" s="62">
        <v>869</v>
      </c>
      <c r="AV75" s="62">
        <v>952</v>
      </c>
      <c r="AW75" s="62">
        <v>958</v>
      </c>
      <c r="AX75" s="62">
        <v>811</v>
      </c>
      <c r="AY75" s="62">
        <v>868</v>
      </c>
      <c r="AZ75" s="62">
        <v>706</v>
      </c>
      <c r="BA75" s="62">
        <v>967</v>
      </c>
      <c r="BB75" s="62">
        <v>976</v>
      </c>
      <c r="BC75" s="62">
        <v>975</v>
      </c>
      <c r="BD75" s="62">
        <v>809</v>
      </c>
      <c r="BE75" s="62">
        <v>839</v>
      </c>
      <c r="BF75" s="62">
        <v>842</v>
      </c>
      <c r="BG75" s="62">
        <v>1168</v>
      </c>
      <c r="BH75" s="62">
        <v>938</v>
      </c>
      <c r="BI75" s="62">
        <v>928</v>
      </c>
      <c r="BJ75" s="62">
        <v>990</v>
      </c>
      <c r="BK75" s="62">
        <v>848</v>
      </c>
      <c r="BL75" s="62">
        <v>941</v>
      </c>
      <c r="BM75" s="62">
        <v>935</v>
      </c>
      <c r="BN75" s="62">
        <v>1201</v>
      </c>
      <c r="BO75" s="62">
        <v>873</v>
      </c>
      <c r="BP75" s="62">
        <v>829</v>
      </c>
      <c r="BQ75" s="62">
        <v>660</v>
      </c>
      <c r="BR75" s="62">
        <v>941</v>
      </c>
      <c r="BS75" s="62">
        <v>752</v>
      </c>
      <c r="BT75" s="62">
        <v>675</v>
      </c>
      <c r="BU75" s="62"/>
      <c r="BV75" s="62"/>
      <c r="BW75" s="62"/>
      <c r="BX75" s="62"/>
      <c r="BY75" s="62"/>
      <c r="BZ75" s="62"/>
      <c r="CA75" s="62"/>
      <c r="CB75" s="62"/>
      <c r="CC75" s="62"/>
      <c r="CD75" s="62"/>
      <c r="CE75" s="62"/>
      <c r="CF75" s="62"/>
      <c r="CG75" s="62"/>
      <c r="CH75" s="62"/>
      <c r="CI75" s="62"/>
      <c r="CJ75" s="62"/>
      <c r="CK75" s="62"/>
      <c r="CL75" s="62"/>
      <c r="CM75" s="62"/>
      <c r="CN75" s="62"/>
      <c r="CO75" s="62"/>
      <c r="CP75" s="62"/>
      <c r="CQ75" s="62"/>
      <c r="CR75" s="62"/>
      <c r="CS75" s="62"/>
      <c r="CT75" s="62"/>
      <c r="CU75" s="62"/>
      <c r="CV75" s="62"/>
      <c r="CW75" s="62"/>
      <c r="CX75" s="62"/>
      <c r="CY75" s="62"/>
      <c r="CZ75" s="62"/>
      <c r="DA75" s="62"/>
      <c r="DB75" s="62"/>
      <c r="DC75" s="62"/>
      <c r="DD75" s="62"/>
      <c r="DE75" s="62"/>
      <c r="DF75" s="62"/>
      <c r="DG75" s="62"/>
      <c r="DH75" s="62"/>
      <c r="DI75" s="62"/>
      <c r="DJ75" s="62"/>
    </row>
    <row r="76" spans="7:114">
      <c r="G76" s="21"/>
      <c r="H76" s="21"/>
      <c r="I76" s="21"/>
      <c r="J76" s="21" t="str">
        <f xml:space="preserve"> _xll.EPMOlapMemberO("[KEY_FIGURES].[].[RESIDUALEXPOSTFCSTACTUALSADJ]","","Residuals Ex-Post Fcst - Actuals Qty Adj","","000")</f>
        <v>Residuals Ex-Post Fcst - Actuals Qty Adj</v>
      </c>
      <c r="K76" s="30">
        <v>34.985791999999996</v>
      </c>
      <c r="L76" s="30">
        <v>-1251.939762</v>
      </c>
      <c r="M76" s="30">
        <v>625.46855800000003</v>
      </c>
      <c r="N76" s="30">
        <v>553.85776399999997</v>
      </c>
      <c r="O76" s="30">
        <v>504.54351100000002</v>
      </c>
      <c r="P76" s="30">
        <v>-25.647023999999998</v>
      </c>
      <c r="Q76" s="30">
        <v>31.497610999999999</v>
      </c>
      <c r="R76" s="30">
        <v>-106.136257</v>
      </c>
      <c r="S76" s="30">
        <v>-69.261015999999998</v>
      </c>
      <c r="T76" s="30">
        <v>-220.469326</v>
      </c>
      <c r="U76" s="30">
        <v>198.96658400000001</v>
      </c>
      <c r="V76" s="30">
        <v>11.328759</v>
      </c>
      <c r="W76" s="30">
        <v>187.38143400000001</v>
      </c>
      <c r="X76" s="30">
        <v>-160.28762699999999</v>
      </c>
      <c r="Y76" s="30">
        <v>83.115817000000007</v>
      </c>
      <c r="Z76" s="30">
        <v>-7.8344269999999998</v>
      </c>
      <c r="AA76" s="30">
        <v>136.820697</v>
      </c>
      <c r="AB76" s="30">
        <v>-22.620414</v>
      </c>
      <c r="AC76" s="30">
        <v>65.271131999999994</v>
      </c>
      <c r="AD76" s="30">
        <v>-193.18691899999999</v>
      </c>
      <c r="AE76" s="30">
        <v>-365.03239600000001</v>
      </c>
      <c r="AF76" s="30">
        <v>239.492052</v>
      </c>
      <c r="AG76" s="30">
        <v>172.46543800000001</v>
      </c>
      <c r="AH76" s="30">
        <v>-289.95632899999998</v>
      </c>
      <c r="AI76" s="30">
        <v>100.29016799999999</v>
      </c>
      <c r="AJ76" s="30">
        <v>-178.096217</v>
      </c>
      <c r="AK76" s="30">
        <v>-86.203597000000002</v>
      </c>
      <c r="AL76" s="30">
        <v>-42.995148</v>
      </c>
      <c r="AM76" s="30">
        <v>-51.399842</v>
      </c>
      <c r="AN76" s="30">
        <v>7.8982739999999998</v>
      </c>
      <c r="AO76" s="30">
        <v>226.23781099999999</v>
      </c>
      <c r="AP76" s="30">
        <v>-140.68046699999999</v>
      </c>
      <c r="AQ76" s="30">
        <v>141.083403</v>
      </c>
      <c r="AR76" s="30">
        <v>39.285839000000003</v>
      </c>
      <c r="AS76" s="30">
        <v>1.00071</v>
      </c>
      <c r="AT76" s="30">
        <v>75.917028999999999</v>
      </c>
      <c r="AU76" s="30">
        <v>-18.431244</v>
      </c>
      <c r="AV76" s="30">
        <v>-99.890000999999998</v>
      </c>
      <c r="AW76" s="30">
        <v>-97.537079000000006</v>
      </c>
      <c r="AX76" s="30">
        <v>57.619089000000002</v>
      </c>
      <c r="AY76" s="30">
        <v>-4.1990889999999998</v>
      </c>
      <c r="AZ76" s="30">
        <v>158.15204399999999</v>
      </c>
      <c r="BA76" s="30">
        <v>-116.07281999999999</v>
      </c>
      <c r="BB76" s="30">
        <v>-115.36667199999999</v>
      </c>
      <c r="BC76" s="30">
        <v>-104.719572</v>
      </c>
      <c r="BD76" s="30">
        <v>70.037205</v>
      </c>
      <c r="BE76" s="30">
        <v>34.180608999999997</v>
      </c>
      <c r="BF76" s="30">
        <v>28.322386000000002</v>
      </c>
      <c r="BG76" s="30">
        <v>-300.04596600000002</v>
      </c>
      <c r="BH76" s="30">
        <v>-44.955762</v>
      </c>
      <c r="BI76" s="30">
        <v>-31.196507</v>
      </c>
      <c r="BJ76" s="30">
        <v>-990</v>
      </c>
      <c r="BK76" s="30">
        <v>-848</v>
      </c>
      <c r="BL76" s="30">
        <v>-941</v>
      </c>
      <c r="BM76" s="30">
        <v>-935</v>
      </c>
      <c r="BN76" s="30">
        <v>-1201</v>
      </c>
      <c r="BO76" s="30">
        <v>-873</v>
      </c>
      <c r="BP76" s="30">
        <v>-829</v>
      </c>
      <c r="BQ76" s="30">
        <v>-660</v>
      </c>
      <c r="BR76" s="30">
        <v>-941</v>
      </c>
      <c r="BS76" s="30">
        <v>-752</v>
      </c>
      <c r="BT76" s="30">
        <v>-675</v>
      </c>
      <c r="BU76" s="30"/>
      <c r="BV76" s="30"/>
      <c r="BW76" s="30"/>
      <c r="BX76" s="30"/>
      <c r="BY76" s="30"/>
      <c r="BZ76" s="30"/>
      <c r="CA76" s="30"/>
      <c r="CB76" s="30"/>
      <c r="CC76" s="30"/>
      <c r="CD76" s="30"/>
      <c r="CE76" s="30"/>
      <c r="CF76" s="30"/>
      <c r="CG76" s="30"/>
      <c r="CH76" s="30"/>
      <c r="CI76" s="30"/>
      <c r="CJ76" s="30"/>
      <c r="CK76" s="30"/>
      <c r="CL76" s="30"/>
      <c r="CM76" s="30"/>
      <c r="CN76" s="30"/>
      <c r="CO76" s="30"/>
      <c r="CP76" s="30"/>
      <c r="CQ76" s="30"/>
      <c r="CR76" s="30"/>
      <c r="CS76" s="30"/>
      <c r="CT76" s="30"/>
      <c r="CU76" s="30"/>
      <c r="CV76" s="30"/>
      <c r="CW76" s="30"/>
      <c r="CX76" s="30"/>
      <c r="CY76" s="30"/>
      <c r="CZ76" s="30"/>
      <c r="DA76" s="30"/>
      <c r="DB76" s="30"/>
      <c r="DC76" s="30"/>
      <c r="DD76" s="30"/>
      <c r="DE76" s="30"/>
      <c r="DF76" s="30"/>
      <c r="DG76" s="30"/>
      <c r="DH76" s="30"/>
      <c r="DI76" s="30"/>
      <c r="DJ76" s="30"/>
    </row>
    <row r="77" spans="7:114">
      <c r="G77" s="21"/>
      <c r="H77" s="21"/>
      <c r="I77" s="21"/>
      <c r="J77" s="21" t="str">
        <f xml:space="preserve"> _xll.EPMOlapMemberO("[KEY_FIGURES].[].[STATISTICALFORECASTQTY]","","Statistical Fcst Qty","","000")</f>
        <v>Statistical Fcst Qty</v>
      </c>
      <c r="K77" s="30"/>
      <c r="L77" s="30"/>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v>899.41218300000003</v>
      </c>
      <c r="BK77" s="30">
        <v>899.41218300000003</v>
      </c>
      <c r="BL77" s="30">
        <v>899.41218300000003</v>
      </c>
      <c r="BM77" s="30">
        <v>899.41218300000003</v>
      </c>
      <c r="BN77" s="30">
        <v>899.41218300000003</v>
      </c>
      <c r="BO77" s="30">
        <v>899.41218300000003</v>
      </c>
      <c r="BP77" s="30">
        <v>899.41218300000003</v>
      </c>
      <c r="BQ77" s="30">
        <v>899.41218300000003</v>
      </c>
      <c r="BR77" s="30">
        <v>899.41218300000003</v>
      </c>
      <c r="BS77" s="30">
        <v>899.41218300000003</v>
      </c>
      <c r="BT77" s="30">
        <v>899.41218300000003</v>
      </c>
      <c r="BU77" s="30">
        <v>899.41218300000003</v>
      </c>
      <c r="BV77" s="30">
        <v>899.41218300000003</v>
      </c>
      <c r="BW77" s="30">
        <v>899.41218300000003</v>
      </c>
      <c r="BX77" s="30">
        <v>899.41218300000003</v>
      </c>
      <c r="BY77" s="30">
        <v>899.41218300000003</v>
      </c>
      <c r="BZ77" s="30">
        <v>899.41218300000003</v>
      </c>
      <c r="CA77" s="30">
        <v>899.41218300000003</v>
      </c>
      <c r="CB77" s="30">
        <v>899.41218300000003</v>
      </c>
      <c r="CC77" s="30">
        <v>899.41218300000003</v>
      </c>
      <c r="CD77" s="30">
        <v>899.41218300000003</v>
      </c>
      <c r="CE77" s="30">
        <v>899.41218300000003</v>
      </c>
      <c r="CF77" s="30">
        <v>899.41218300000003</v>
      </c>
      <c r="CG77" s="30">
        <v>899.41218300000003</v>
      </c>
      <c r="CH77" s="30">
        <v>899.41218300000003</v>
      </c>
      <c r="CI77" s="30">
        <v>899.41218300000003</v>
      </c>
      <c r="CJ77" s="30">
        <v>899.41218300000003</v>
      </c>
      <c r="CK77" s="30">
        <v>899.41218300000003</v>
      </c>
      <c r="CL77" s="30">
        <v>899.41218300000003</v>
      </c>
      <c r="CM77" s="30">
        <v>899.41218300000003</v>
      </c>
      <c r="CN77" s="30">
        <v>899.41218300000003</v>
      </c>
      <c r="CO77" s="30">
        <v>899.41218300000003</v>
      </c>
      <c r="CP77" s="30">
        <v>899.41218300000003</v>
      </c>
      <c r="CQ77" s="30">
        <v>899.41218300000003</v>
      </c>
      <c r="CR77" s="30">
        <v>899.41218300000003</v>
      </c>
      <c r="CS77" s="30">
        <v>899.41218300000003</v>
      </c>
      <c r="CT77" s="30">
        <v>899.41218300000003</v>
      </c>
      <c r="CU77" s="30">
        <v>899.41218300000003</v>
      </c>
      <c r="CV77" s="30">
        <v>899.41218300000003</v>
      </c>
      <c r="CW77" s="30">
        <v>899.41218300000003</v>
      </c>
      <c r="CX77" s="30">
        <v>899.41218300000003</v>
      </c>
      <c r="CY77" s="30">
        <v>899.41218300000003</v>
      </c>
      <c r="CZ77" s="30">
        <v>899.41218300000003</v>
      </c>
      <c r="DA77" s="30">
        <v>899.41218300000003</v>
      </c>
      <c r="DB77" s="30">
        <v>899.41218300000003</v>
      </c>
      <c r="DC77" s="30">
        <v>899.41218300000003</v>
      </c>
      <c r="DD77" s="30">
        <v>899.41218300000003</v>
      </c>
      <c r="DE77" s="30">
        <v>899.41218300000003</v>
      </c>
      <c r="DF77" s="30">
        <v>899.41218300000003</v>
      </c>
      <c r="DG77" s="30">
        <v>899.41218300000003</v>
      </c>
      <c r="DH77" s="30">
        <v>899.41218300000003</v>
      </c>
      <c r="DI77" s="30">
        <v>899.41218300000003</v>
      </c>
      <c r="DJ77" s="30"/>
    </row>
  </sheetData>
  <mergeCells count="8">
    <mergeCell ref="A4:J4"/>
    <mergeCell ref="A1:J1"/>
    <mergeCell ref="K1:P1"/>
    <mergeCell ref="Q1:V1"/>
    <mergeCell ref="A3:J3"/>
    <mergeCell ref="K3:V3"/>
    <mergeCell ref="A2:I2"/>
    <mergeCell ref="J2:K2"/>
  </mergeCells>
  <pageMargins left="0.7" right="0.7" top="0.75" bottom="0.75" header="0.3" footer="0.3"/>
  <pageSetup orientation="portrait" horizontalDpi="300" r:id="rId1"/>
  <customProperties>
    <customPr name="EpmWorksheetKeyString_GUID" r:id="rId2"/>
    <customPr name="FPMExcelClientRefreshTime" r:id="rId3"/>
    <customPr name="IbpWorksheetKeyString_GUID" r:id="rId4"/>
  </customProperties>
  <drawing r:id="rId5"/>
  <legacyDrawing r:id="rId6"/>
  <picture r:id="rId7"/>
  <controls>
    <mc:AlternateContent xmlns:mc="http://schemas.openxmlformats.org/markup-compatibility/2006">
      <mc:Choice Requires="x14">
        <control shapeId="3093" r:id="rId38" name="FPMExcelClientSheetOptionstb1">
          <controlPr defaultSize="0" autoLine="0" r:id="rId39">
            <anchor moveWithCells="1" sizeWithCells="1">
              <from>
                <xdr:col>0</xdr:col>
                <xdr:colOff>0</xdr:colOff>
                <xdr:row>0</xdr:row>
                <xdr:rowOff>0</xdr:rowOff>
              </from>
              <to>
                <xdr:col>0</xdr:col>
                <xdr:colOff>0</xdr:colOff>
                <xdr:row>0</xdr:row>
                <xdr:rowOff>0</xdr:rowOff>
              </to>
            </anchor>
          </controlPr>
        </control>
      </mc:Choice>
      <mc:Fallback>
        <control shapeId="3093" r:id="rId38" name="FPMExcelClientSheetOptionstb1"/>
      </mc:Fallback>
    </mc:AlternateContent>
    <mc:AlternateContent xmlns:mc="http://schemas.openxmlformats.org/markup-compatibility/2006">
      <mc:Choice Requires="x14">
        <control shapeId="3114" r:id="rId40" name="CommandButton1">
          <controlPr defaultSize="0" autoLine="0" altText="Refresh Chart" r:id="rId41">
            <anchor>
              <from>
                <xdr:col>0</xdr:col>
                <xdr:colOff>38100</xdr:colOff>
                <xdr:row>3</xdr:row>
                <xdr:rowOff>28575</xdr:rowOff>
              </from>
              <to>
                <xdr:col>2</xdr:col>
                <xdr:colOff>76200</xdr:colOff>
                <xdr:row>3</xdr:row>
                <xdr:rowOff>257175</xdr:rowOff>
              </to>
            </anchor>
          </controlPr>
        </control>
      </mc:Choice>
      <mc:Fallback>
        <control shapeId="3114" r:id="rId40" name="CommandButton1"/>
      </mc:Fallback>
    </mc:AlternateContent>
    <mc:AlternateContent xmlns:mc="http://schemas.openxmlformats.org/markup-compatibility/2006">
      <mc:Choice Requires="x14">
        <control shapeId="3116" r:id="rId42" name="Label1">
          <controlPr defaultSize="0" autoLine="0" r:id="rId43">
            <anchor>
              <from>
                <xdr:col>3</xdr:col>
                <xdr:colOff>28575</xdr:colOff>
                <xdr:row>3</xdr:row>
                <xdr:rowOff>38100</xdr:rowOff>
              </from>
              <to>
                <xdr:col>6</xdr:col>
                <xdr:colOff>381000</xdr:colOff>
                <xdr:row>3</xdr:row>
                <xdr:rowOff>266700</xdr:rowOff>
              </to>
            </anchor>
          </controlPr>
        </control>
      </mc:Choice>
      <mc:Fallback>
        <control shapeId="3116" r:id="rId42" name="Label1"/>
      </mc:Fallback>
    </mc:AlternateContent>
    <mc:AlternateContent xmlns:mc="http://schemas.openxmlformats.org/markup-compatibility/2006">
      <mc:Choice Requires="x14">
        <control shapeId="3117" r:id="rId44" name="CommandButton2">
          <controlPr defaultSize="0" autoLine="0" r:id="rId45">
            <anchor>
              <from>
                <xdr:col>0</xdr:col>
                <xdr:colOff>38100</xdr:colOff>
                <xdr:row>3</xdr:row>
                <xdr:rowOff>514350</xdr:rowOff>
              </from>
              <to>
                <xdr:col>2</xdr:col>
                <xdr:colOff>76200</xdr:colOff>
                <xdr:row>3</xdr:row>
                <xdr:rowOff>742950</xdr:rowOff>
              </to>
            </anchor>
          </controlPr>
        </control>
      </mc:Choice>
      <mc:Fallback>
        <control shapeId="3117" r:id="rId44" name="CommandButton2"/>
      </mc:Fallback>
    </mc:AlternateContent>
    <mc:AlternateContent xmlns:mc="http://schemas.openxmlformats.org/markup-compatibility/2006">
      <mc:Choice Requires="x14">
        <control shapeId="3118" r:id="rId46" name="CommandButton3">
          <controlPr defaultSize="0" autoLine="0" r:id="rId47">
            <anchor>
              <from>
                <xdr:col>3</xdr:col>
                <xdr:colOff>9525</xdr:colOff>
                <xdr:row>3</xdr:row>
                <xdr:rowOff>514350</xdr:rowOff>
              </from>
              <to>
                <xdr:col>5</xdr:col>
                <xdr:colOff>47625</xdr:colOff>
                <xdr:row>3</xdr:row>
                <xdr:rowOff>742950</xdr:rowOff>
              </to>
            </anchor>
          </controlPr>
        </control>
      </mc:Choice>
      <mc:Fallback>
        <control shapeId="3118" r:id="rId46" name="CommandButton3"/>
      </mc:Fallback>
    </mc:AlternateContent>
    <mc:AlternateContent xmlns:mc="http://schemas.openxmlformats.org/markup-compatibility/2006">
      <mc:Choice Requires="x14">
        <control shapeId="3120" r:id="rId48" name="Label2">
          <controlPr defaultSize="0" autoLine="0" r:id="rId49">
            <anchor>
              <from>
                <xdr:col>5</xdr:col>
                <xdr:colOff>85725</xdr:colOff>
                <xdr:row>3</xdr:row>
                <xdr:rowOff>552450</xdr:rowOff>
              </from>
              <to>
                <xdr:col>6</xdr:col>
                <xdr:colOff>628650</xdr:colOff>
                <xdr:row>3</xdr:row>
                <xdr:rowOff>714375</xdr:rowOff>
              </to>
            </anchor>
          </controlPr>
        </control>
      </mc:Choice>
      <mc:Fallback>
        <control shapeId="3120" r:id="rId48" name="Label2"/>
      </mc:Fallback>
    </mc:AlternateContent>
    <mc:AlternateContent xmlns:mc="http://schemas.openxmlformats.org/markup-compatibility/2006">
      <mc:Choice Requires="x14">
        <control shapeId="3121" r:id="rId50" name="CommandButton4">
          <controlPr defaultSize="0" autoLine="0" r:id="rId45">
            <anchor>
              <from>
                <xdr:col>7</xdr:col>
                <xdr:colOff>381000</xdr:colOff>
                <xdr:row>3</xdr:row>
                <xdr:rowOff>514350</xdr:rowOff>
              </from>
              <to>
                <xdr:col>7</xdr:col>
                <xdr:colOff>609600</xdr:colOff>
                <xdr:row>3</xdr:row>
                <xdr:rowOff>742950</xdr:rowOff>
              </to>
            </anchor>
          </controlPr>
        </control>
      </mc:Choice>
      <mc:Fallback>
        <control shapeId="3121" r:id="rId50" name="CommandButton4"/>
      </mc:Fallback>
    </mc:AlternateContent>
    <mc:AlternateContent xmlns:mc="http://schemas.openxmlformats.org/markup-compatibility/2006">
      <mc:Choice Requires="x14">
        <control shapeId="3122" r:id="rId51" name="CommandButton5">
          <controlPr defaultSize="0" autoLine="0" r:id="rId47">
            <anchor>
              <from>
                <xdr:col>7</xdr:col>
                <xdr:colOff>638175</xdr:colOff>
                <xdr:row>3</xdr:row>
                <xdr:rowOff>514350</xdr:rowOff>
              </from>
              <to>
                <xdr:col>8</xdr:col>
                <xdr:colOff>152400</xdr:colOff>
                <xdr:row>3</xdr:row>
                <xdr:rowOff>742950</xdr:rowOff>
              </to>
            </anchor>
          </controlPr>
        </control>
      </mc:Choice>
      <mc:Fallback>
        <control shapeId="3122" r:id="rId51" name="CommandButton5"/>
      </mc:Fallback>
    </mc:AlternateContent>
    <mc:AlternateContent xmlns:mc="http://schemas.openxmlformats.org/markup-compatibility/2006">
      <mc:Choice Requires="x14">
        <control shapeId="3123" r:id="rId52" name="Label3">
          <controlPr defaultSize="0" autoLine="0" r:id="rId53">
            <anchor>
              <from>
                <xdr:col>8</xdr:col>
                <xdr:colOff>190500</xdr:colOff>
                <xdr:row>3</xdr:row>
                <xdr:rowOff>552450</xdr:rowOff>
              </from>
              <to>
                <xdr:col>9</xdr:col>
                <xdr:colOff>38100</xdr:colOff>
                <xdr:row>3</xdr:row>
                <xdr:rowOff>714375</xdr:rowOff>
              </to>
            </anchor>
          </controlPr>
        </control>
      </mc:Choice>
      <mc:Fallback>
        <control shapeId="3123" r:id="rId52" name="Label3"/>
      </mc:Fallback>
    </mc:AlternateContent>
    <mc:AlternateContent xmlns:mc="http://schemas.openxmlformats.org/markup-compatibility/2006">
      <mc:Choice Requires="x14">
        <control shapeId="3127" r:id="rId34" name="CommandButton7">
          <controlPr defaultSize="0" autoLine="0" autoPict="0" r:id="rId35">
            <anchor>
              <from>
                <xdr:col>0</xdr:col>
                <xdr:colOff>38100</xdr:colOff>
                <xdr:row>2</xdr:row>
                <xdr:rowOff>57150</xdr:rowOff>
              </from>
              <to>
                <xdr:col>2</xdr:col>
                <xdr:colOff>76200</xdr:colOff>
                <xdr:row>2</xdr:row>
                <xdr:rowOff>257175</xdr:rowOff>
              </to>
            </anchor>
          </controlPr>
        </control>
      </mc:Choice>
      <mc:Fallback>
        <control shapeId="3127" r:id="rId34" name="CommandButton7"/>
      </mc:Fallback>
    </mc:AlternateContent>
    <mc:AlternateContent xmlns:mc="http://schemas.openxmlformats.org/markup-compatibility/2006">
      <mc:Choice Requires="x14">
        <control shapeId="3125" r:id="rId36" name="CommandButton6">
          <controlPr defaultSize="0" autoLine="0" r:id="rId37">
            <anchor>
              <from>
                <xdr:col>0</xdr:col>
                <xdr:colOff>38100</xdr:colOff>
                <xdr:row>2</xdr:row>
                <xdr:rowOff>57150</xdr:rowOff>
              </from>
              <to>
                <xdr:col>2</xdr:col>
                <xdr:colOff>76200</xdr:colOff>
                <xdr:row>2</xdr:row>
                <xdr:rowOff>285750</xdr:rowOff>
              </to>
            </anchor>
          </controlPr>
        </control>
      </mc:Choice>
      <mc:Fallback>
        <control shapeId="3125" r:id="rId36" name="CommandButton6"/>
      </mc:Fallback>
    </mc:AlternateContent>
    <mc:AlternateContent xmlns:mc="http://schemas.openxmlformats.org/markup-compatibility/2006">
      <mc:Choice Requires="x14">
        <control shapeId="3128" r:id="rId32" name="ListBox1">
          <controlPr defaultSize="0" autoLine="0" r:id="rId33">
            <anchor>
              <from>
                <xdr:col>0</xdr:col>
                <xdr:colOff>38100</xdr:colOff>
                <xdr:row>3</xdr:row>
                <xdr:rowOff>771525</xdr:rowOff>
              </from>
              <to>
                <xdr:col>7</xdr:col>
                <xdr:colOff>0</xdr:colOff>
                <xdr:row>3</xdr:row>
                <xdr:rowOff>1685925</xdr:rowOff>
              </to>
            </anchor>
          </controlPr>
        </control>
      </mc:Choice>
      <mc:Fallback>
        <control shapeId="3128" r:id="rId32" name="ListBox1"/>
      </mc:Fallback>
    </mc:AlternateContent>
    <mc:AlternateContent xmlns:mc="http://schemas.openxmlformats.org/markup-compatibility/2006">
      <mc:Choice Requires="x14">
        <control shapeId="3129" r:id="rId30" name="ListBox2">
          <controlPr defaultSize="0" autoLine="0" r:id="rId31">
            <anchor>
              <from>
                <xdr:col>7</xdr:col>
                <xdr:colOff>381000</xdr:colOff>
                <xdr:row>3</xdr:row>
                <xdr:rowOff>771525</xdr:rowOff>
              </from>
              <to>
                <xdr:col>8</xdr:col>
                <xdr:colOff>552450</xdr:colOff>
                <xdr:row>3</xdr:row>
                <xdr:rowOff>1228725</xdr:rowOff>
              </to>
            </anchor>
          </controlPr>
        </control>
      </mc:Choice>
      <mc:Fallback>
        <control shapeId="3129" r:id="rId30" name="ListBox2"/>
      </mc:Fallback>
    </mc:AlternateContent>
    <mc:AlternateContent xmlns:mc="http://schemas.openxmlformats.org/markup-compatibility/2006">
      <mc:Choice Requires="x14">
        <control shapeId="3130" r:id="rId28" name="CheckBox1">
          <controlPr defaultSize="0" autoLine="0" r:id="rId29">
            <anchor>
              <from>
                <xdr:col>8</xdr:col>
                <xdr:colOff>342900</xdr:colOff>
                <xdr:row>3</xdr:row>
                <xdr:rowOff>28575</xdr:rowOff>
              </from>
              <to>
                <xdr:col>9</xdr:col>
                <xdr:colOff>247650</xdr:colOff>
                <xdr:row>3</xdr:row>
                <xdr:rowOff>295275</xdr:rowOff>
              </to>
            </anchor>
          </controlPr>
        </control>
      </mc:Choice>
      <mc:Fallback>
        <control shapeId="3130" r:id="rId28" name="CheckBox1"/>
      </mc:Fallback>
    </mc:AlternateContent>
    <mc:AlternateContent xmlns:mc="http://schemas.openxmlformats.org/markup-compatibility/2006">
      <mc:Choice Requires="x14">
        <control shapeId="3131" r:id="rId54" name="CheckBox2">
          <controlPr defaultSize="0" autoLine="0" r:id="rId55">
            <anchor>
              <from>
                <xdr:col>6</xdr:col>
                <xdr:colOff>333375</xdr:colOff>
                <xdr:row>3</xdr:row>
                <xdr:rowOff>28575</xdr:rowOff>
              </from>
              <to>
                <xdr:col>8</xdr:col>
                <xdr:colOff>342900</xdr:colOff>
                <xdr:row>3</xdr:row>
                <xdr:rowOff>295275</xdr:rowOff>
              </to>
            </anchor>
          </controlPr>
        </control>
      </mc:Choice>
      <mc:Fallback>
        <control shapeId="3131" r:id="rId54" name="CheckBox2"/>
      </mc:Fallback>
    </mc:AlternateContent>
    <mc:AlternateContent xmlns:mc="http://schemas.openxmlformats.org/markup-compatibility/2006">
      <mc:Choice Requires="x14">
        <control shapeId="3132" r:id="rId56" name="CheckBox3">
          <controlPr defaultSize="0" autoLine="0" r:id="rId57">
            <anchor>
              <from>
                <xdr:col>6</xdr:col>
                <xdr:colOff>333375</xdr:colOff>
                <xdr:row>3</xdr:row>
                <xdr:rowOff>219075</xdr:rowOff>
              </from>
              <to>
                <xdr:col>8</xdr:col>
                <xdr:colOff>342900</xdr:colOff>
                <xdr:row>3</xdr:row>
                <xdr:rowOff>485775</xdr:rowOff>
              </to>
            </anchor>
          </controlPr>
        </control>
      </mc:Choice>
      <mc:Fallback>
        <control shapeId="3132" r:id="rId56" name="CheckBox3"/>
      </mc:Fallback>
    </mc:AlternateContent>
    <mc:AlternateContent xmlns:mc="http://schemas.openxmlformats.org/markup-compatibility/2006">
      <mc:Choice Requires="x14">
        <control shapeId="3133" r:id="rId58" name="AnalyzerDynReport000tb1">
          <controlPr defaultSize="0" autoLine="0" autoPict="0" r:id="rId59">
            <anchor moveWithCells="1" sizeWithCells="1">
              <from>
                <xdr:col>0</xdr:col>
                <xdr:colOff>0</xdr:colOff>
                <xdr:row>0</xdr:row>
                <xdr:rowOff>0</xdr:rowOff>
              </from>
              <to>
                <xdr:col>6</xdr:col>
                <xdr:colOff>152400</xdr:colOff>
                <xdr:row>0</xdr:row>
                <xdr:rowOff>0</xdr:rowOff>
              </to>
            </anchor>
          </controlPr>
        </control>
      </mc:Choice>
      <mc:Fallback>
        <control shapeId="3133" r:id="rId58" name="AnalyzerDynReport000tb1"/>
      </mc:Fallback>
    </mc:AlternateContent>
    <mc:AlternateContent xmlns:mc="http://schemas.openxmlformats.org/markup-compatibility/2006">
      <mc:Choice Requires="x14">
        <control shapeId="3134" r:id="rId60" name="ConnectionDescriptorsInfotb1">
          <controlPr defaultSize="0" autoLine="0" autoPict="0" r:id="rId61">
            <anchor moveWithCells="1" sizeWithCells="1">
              <from>
                <xdr:col>0</xdr:col>
                <xdr:colOff>0</xdr:colOff>
                <xdr:row>0</xdr:row>
                <xdr:rowOff>0</xdr:rowOff>
              </from>
              <to>
                <xdr:col>6</xdr:col>
                <xdr:colOff>152400</xdr:colOff>
                <xdr:row>0</xdr:row>
                <xdr:rowOff>0</xdr:rowOff>
              </to>
            </anchor>
          </controlPr>
        </control>
      </mc:Choice>
      <mc:Fallback>
        <control shapeId="3134" r:id="rId60" name="ConnectionDescriptorsInfotb1"/>
      </mc:Fallback>
    </mc:AlternateContent>
    <mc:AlternateContent xmlns:mc="http://schemas.openxmlformats.org/markup-compatibility/2006">
      <mc:Choice Requires="x14">
        <control shapeId="3135" r:id="rId62" name="MultipleReportManagerInfotb1">
          <controlPr defaultSize="0" autoLine="0" autoPict="0" r:id="rId63">
            <anchor moveWithCells="1" sizeWithCells="1">
              <from>
                <xdr:col>0</xdr:col>
                <xdr:colOff>0</xdr:colOff>
                <xdr:row>0</xdr:row>
                <xdr:rowOff>0</xdr:rowOff>
              </from>
              <to>
                <xdr:col>6</xdr:col>
                <xdr:colOff>152400</xdr:colOff>
                <xdr:row>0</xdr:row>
                <xdr:rowOff>0</xdr:rowOff>
              </to>
            </anchor>
          </controlPr>
        </control>
      </mc:Choice>
      <mc:Fallback>
        <control shapeId="3135" r:id="rId62" name="MultipleReportManagerInfotb1"/>
      </mc:Fallback>
    </mc:AlternateContent>
    <mc:AlternateContent xmlns:mc="http://schemas.openxmlformats.org/markup-compatibility/2006">
      <mc:Choice Requires="x14">
        <control shapeId="3136" r:id="rId64" name="ReportSubmitManagerControltb1">
          <controlPr defaultSize="0" autoLine="0" autoPict="0" r:id="rId65">
            <anchor moveWithCells="1" sizeWithCells="1">
              <from>
                <xdr:col>0</xdr:col>
                <xdr:colOff>0</xdr:colOff>
                <xdr:row>0</xdr:row>
                <xdr:rowOff>0</xdr:rowOff>
              </from>
              <to>
                <xdr:col>6</xdr:col>
                <xdr:colOff>152400</xdr:colOff>
                <xdr:row>0</xdr:row>
                <xdr:rowOff>0</xdr:rowOff>
              </to>
            </anchor>
          </controlPr>
        </control>
      </mc:Choice>
      <mc:Fallback>
        <control shapeId="3136" r:id="rId64" name="ReportSubmitManagerControltb1"/>
      </mc:Fallback>
    </mc:AlternateContent>
    <mc:AlternateContent xmlns:mc="http://schemas.openxmlformats.org/markup-compatibility/2006">
      <mc:Choice Requires="x14">
        <control shapeId="3137" r:id="rId66" name="ReportSubmitControl_1tb1">
          <controlPr defaultSize="0" autoLine="0" autoPict="0" r:id="rId67">
            <anchor moveWithCells="1" sizeWithCells="1">
              <from>
                <xdr:col>0</xdr:col>
                <xdr:colOff>0</xdr:colOff>
                <xdr:row>0</xdr:row>
                <xdr:rowOff>0</xdr:rowOff>
              </from>
              <to>
                <xdr:col>6</xdr:col>
                <xdr:colOff>152400</xdr:colOff>
                <xdr:row>0</xdr:row>
                <xdr:rowOff>0</xdr:rowOff>
              </to>
            </anchor>
          </controlPr>
        </control>
      </mc:Choice>
      <mc:Fallback>
        <control shapeId="3137" r:id="rId66" name="ReportSubmitControl_1tb1"/>
      </mc:Fallback>
    </mc:AlternateContent>
    <mc:AlternateContent xmlns:mc="http://schemas.openxmlformats.org/markup-compatibility/2006">
      <mc:Choice Requires="x14">
        <control shapeId="3138" r:id="rId26" name="MultipleReportManagerInfoHCtb1">
          <controlPr defaultSize="0" autoLine="0" autoPict="0" r:id="rId27">
            <anchor moveWithCells="1">
              <from>
                <xdr:col>0</xdr:col>
                <xdr:colOff>0</xdr:colOff>
                <xdr:row>0</xdr:row>
                <xdr:rowOff>0</xdr:rowOff>
              </from>
              <to>
                <xdr:col>6</xdr:col>
                <xdr:colOff>333375</xdr:colOff>
                <xdr:row>0</xdr:row>
                <xdr:rowOff>0</xdr:rowOff>
              </to>
            </anchor>
          </controlPr>
        </control>
      </mc:Choice>
      <mc:Fallback>
        <control shapeId="3138" r:id="rId26" name="MultipleReportManagerInfoHCtb1"/>
      </mc:Fallback>
    </mc:AlternateContent>
    <mc:AlternateContent xmlns:mc="http://schemas.openxmlformats.org/markup-compatibility/2006">
      <mc:Choice Requires="x14">
        <control shapeId="3139" r:id="rId24" name="MultipleReportManagerInfoDCtb1">
          <controlPr defaultSize="0" autoLine="0" autoPict="0" r:id="rId25">
            <anchor moveWithCells="1">
              <from>
                <xdr:col>0</xdr:col>
                <xdr:colOff>0</xdr:colOff>
                <xdr:row>0</xdr:row>
                <xdr:rowOff>0</xdr:rowOff>
              </from>
              <to>
                <xdr:col>6</xdr:col>
                <xdr:colOff>333375</xdr:colOff>
                <xdr:row>0</xdr:row>
                <xdr:rowOff>0</xdr:rowOff>
              </to>
            </anchor>
          </controlPr>
        </control>
      </mc:Choice>
      <mc:Fallback>
        <control shapeId="3139" r:id="rId24" name="MultipleReportManagerInfoDCtb1"/>
      </mc:Fallback>
    </mc:AlternateContent>
    <mc:AlternateContent xmlns:mc="http://schemas.openxmlformats.org/markup-compatibility/2006">
      <mc:Choice Requires="x14">
        <control shapeId="3140" r:id="rId22" name="ConnectionDescriptorsInfoHCtb1">
          <controlPr defaultSize="0" autoLine="0" autoPict="0" r:id="rId23">
            <anchor moveWithCells="1">
              <from>
                <xdr:col>0</xdr:col>
                <xdr:colOff>0</xdr:colOff>
                <xdr:row>0</xdr:row>
                <xdr:rowOff>0</xdr:rowOff>
              </from>
              <to>
                <xdr:col>6</xdr:col>
                <xdr:colOff>333375</xdr:colOff>
                <xdr:row>0</xdr:row>
                <xdr:rowOff>0</xdr:rowOff>
              </to>
            </anchor>
          </controlPr>
        </control>
      </mc:Choice>
      <mc:Fallback>
        <control shapeId="3140" r:id="rId22" name="ConnectionDescriptorsInfoHCtb1"/>
      </mc:Fallback>
    </mc:AlternateContent>
    <mc:AlternateContent xmlns:mc="http://schemas.openxmlformats.org/markup-compatibility/2006">
      <mc:Choice Requires="x14">
        <control shapeId="3141" r:id="rId20" name="ConnectionDescriptorsInfoDCtb1">
          <controlPr defaultSize="0" autoLine="0" autoPict="0" r:id="rId21">
            <anchor moveWithCells="1">
              <from>
                <xdr:col>0</xdr:col>
                <xdr:colOff>0</xdr:colOff>
                <xdr:row>0</xdr:row>
                <xdr:rowOff>0</xdr:rowOff>
              </from>
              <to>
                <xdr:col>6</xdr:col>
                <xdr:colOff>333375</xdr:colOff>
                <xdr:row>0</xdr:row>
                <xdr:rowOff>0</xdr:rowOff>
              </to>
            </anchor>
          </controlPr>
        </control>
      </mc:Choice>
      <mc:Fallback>
        <control shapeId="3141" r:id="rId20" name="ConnectionDescriptorsInfoDCtb1"/>
      </mc:Fallback>
    </mc:AlternateContent>
    <mc:AlternateContent xmlns:mc="http://schemas.openxmlformats.org/markup-compatibility/2006">
      <mc:Choice Requires="x14">
        <control shapeId="3142" r:id="rId18" name="ReportSubmitManagerControlHCtb1">
          <controlPr defaultSize="0" autoLine="0" autoPict="0" r:id="rId19">
            <anchor moveWithCells="1">
              <from>
                <xdr:col>0</xdr:col>
                <xdr:colOff>0</xdr:colOff>
                <xdr:row>0</xdr:row>
                <xdr:rowOff>0</xdr:rowOff>
              </from>
              <to>
                <xdr:col>6</xdr:col>
                <xdr:colOff>342900</xdr:colOff>
                <xdr:row>0</xdr:row>
                <xdr:rowOff>0</xdr:rowOff>
              </to>
            </anchor>
          </controlPr>
        </control>
      </mc:Choice>
      <mc:Fallback>
        <control shapeId="3142" r:id="rId18" name="ReportSubmitManagerControlHCtb1"/>
      </mc:Fallback>
    </mc:AlternateContent>
    <mc:AlternateContent xmlns:mc="http://schemas.openxmlformats.org/markup-compatibility/2006">
      <mc:Choice Requires="x14">
        <control shapeId="3143" r:id="rId16" name="ReportSubmitManagerControlDCtb1">
          <controlPr defaultSize="0" autoLine="0" autoPict="0" r:id="rId17">
            <anchor moveWithCells="1">
              <from>
                <xdr:col>0</xdr:col>
                <xdr:colOff>0</xdr:colOff>
                <xdr:row>0</xdr:row>
                <xdr:rowOff>0</xdr:rowOff>
              </from>
              <to>
                <xdr:col>6</xdr:col>
                <xdr:colOff>342900</xdr:colOff>
                <xdr:row>0</xdr:row>
                <xdr:rowOff>0</xdr:rowOff>
              </to>
            </anchor>
          </controlPr>
        </control>
      </mc:Choice>
      <mc:Fallback>
        <control shapeId="3143" r:id="rId16" name="ReportSubmitManagerControlDCtb1"/>
      </mc:Fallback>
    </mc:AlternateContent>
    <mc:AlternateContent xmlns:mc="http://schemas.openxmlformats.org/markup-compatibility/2006">
      <mc:Choice Requires="x14">
        <control shapeId="3144" r:id="rId14" name="ReportSubmitControl_1HCtb1">
          <controlPr defaultSize="0" autoLine="0" autoPict="0" r:id="rId15">
            <anchor moveWithCells="1">
              <from>
                <xdr:col>0</xdr:col>
                <xdr:colOff>0</xdr:colOff>
                <xdr:row>0</xdr:row>
                <xdr:rowOff>0</xdr:rowOff>
              </from>
              <to>
                <xdr:col>6</xdr:col>
                <xdr:colOff>342900</xdr:colOff>
                <xdr:row>0</xdr:row>
                <xdr:rowOff>0</xdr:rowOff>
              </to>
            </anchor>
          </controlPr>
        </control>
      </mc:Choice>
      <mc:Fallback>
        <control shapeId="3144" r:id="rId14" name="ReportSubmitControl_1HCtb1"/>
      </mc:Fallback>
    </mc:AlternateContent>
    <mc:AlternateContent xmlns:mc="http://schemas.openxmlformats.org/markup-compatibility/2006">
      <mc:Choice Requires="x14">
        <control shapeId="3145" r:id="rId12" name="ReportSubmitControl_1DCtb1">
          <controlPr defaultSize="0" autoLine="0" autoPict="0" r:id="rId13">
            <anchor moveWithCells="1">
              <from>
                <xdr:col>0</xdr:col>
                <xdr:colOff>0</xdr:colOff>
                <xdr:row>0</xdr:row>
                <xdr:rowOff>0</xdr:rowOff>
              </from>
              <to>
                <xdr:col>6</xdr:col>
                <xdr:colOff>342900</xdr:colOff>
                <xdr:row>0</xdr:row>
                <xdr:rowOff>0</xdr:rowOff>
              </to>
            </anchor>
          </controlPr>
        </control>
      </mc:Choice>
      <mc:Fallback>
        <control shapeId="3145" r:id="rId12" name="ReportSubmitControl_1DCtb1"/>
      </mc:Fallback>
    </mc:AlternateContent>
    <mc:AlternateContent xmlns:mc="http://schemas.openxmlformats.org/markup-compatibility/2006">
      <mc:Choice Requires="x14">
        <control shapeId="3146" r:id="rId10" name="AnalyzerDynReportHC000tb1">
          <controlPr defaultSize="0" autoLine="0" autoPict="0" r:id="rId11">
            <anchor moveWithCells="1">
              <from>
                <xdr:col>0</xdr:col>
                <xdr:colOff>0</xdr:colOff>
                <xdr:row>0</xdr:row>
                <xdr:rowOff>0</xdr:rowOff>
              </from>
              <to>
                <xdr:col>6</xdr:col>
                <xdr:colOff>342900</xdr:colOff>
                <xdr:row>0</xdr:row>
                <xdr:rowOff>0</xdr:rowOff>
              </to>
            </anchor>
          </controlPr>
        </control>
      </mc:Choice>
      <mc:Fallback>
        <control shapeId="3146" r:id="rId10" name="AnalyzerDynReportHC000tb1"/>
      </mc:Fallback>
    </mc:AlternateContent>
    <mc:AlternateContent xmlns:mc="http://schemas.openxmlformats.org/markup-compatibility/2006">
      <mc:Choice Requires="x14">
        <control shapeId="3147" r:id="rId8" name="AnalyzerDynReportDC000tb1">
          <controlPr defaultSize="0" autoLine="0" autoPict="0" r:id="rId9">
            <anchor moveWithCells="1">
              <from>
                <xdr:col>0</xdr:col>
                <xdr:colOff>0</xdr:colOff>
                <xdr:row>0</xdr:row>
                <xdr:rowOff>0</xdr:rowOff>
              </from>
              <to>
                <xdr:col>6</xdr:col>
                <xdr:colOff>342900</xdr:colOff>
                <xdr:row>0</xdr:row>
                <xdr:rowOff>0</xdr:rowOff>
              </to>
            </anchor>
          </controlPr>
        </control>
      </mc:Choice>
      <mc:Fallback>
        <control shapeId="3147" r:id="rId8" name="AnalyzerDynReportDC000tb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A03E5-F8C1-43DB-9CA6-822DDECEE9B2}">
  <sheetPr codeName="Sheet4"/>
  <dimension ref="A1:DJ73"/>
  <sheetViews>
    <sheetView showGridLines="0" zoomScaleNormal="100" workbookViewId="0">
      <pane xSplit="10" ySplit="5" topLeftCell="K6" activePane="bottomRight" state="frozen"/>
      <selection pane="bottomRight" activeCell="Q2" sqref="Q2"/>
      <selection pane="bottomLeft" activeCell="A6" sqref="A6"/>
      <selection pane="topRight" activeCell="G1" sqref="G1"/>
    </sheetView>
  </sheetViews>
  <sheetFormatPr defaultRowHeight="15"/>
  <cols>
    <col min="1" max="6" width="1.42578125" bestFit="1" customWidth="1"/>
    <col min="7" max="7" width="10.140625" bestFit="1" customWidth="1"/>
    <col min="8" max="8" width="10.7109375" bestFit="1" customWidth="1"/>
    <col min="9" max="9" width="11.85546875" bestFit="1" customWidth="1"/>
    <col min="10" max="10" width="30.85546875" bestFit="1" customWidth="1"/>
    <col min="11" max="31" width="13.140625" bestFit="1" customWidth="1"/>
    <col min="32" max="44" width="14.140625" bestFit="1" customWidth="1"/>
    <col min="45" max="83" width="13.140625" bestFit="1" customWidth="1"/>
    <col min="84" max="96" width="14.140625" bestFit="1" customWidth="1"/>
    <col min="97" max="114" width="13.140625" bestFit="1" customWidth="1"/>
  </cols>
  <sheetData>
    <row r="1" spans="1:114" s="25" customFormat="1" ht="28.5">
      <c r="A1" s="96" t="s">
        <v>192</v>
      </c>
      <c r="B1" s="97"/>
      <c r="C1" s="97"/>
      <c r="D1" s="97"/>
      <c r="E1" s="97"/>
      <c r="F1" s="97"/>
      <c r="G1" s="97"/>
      <c r="H1" s="97"/>
      <c r="I1" s="97"/>
      <c r="J1" s="97"/>
      <c r="K1" s="98" t="str">
        <f>" "&amp;IFERROR(IF(SOP_Favorite_Name&lt;&gt;" ",SOP_Favorite_Name,IF(SOP_Template_Name&lt;&gt;" ",SOP_Template_Name,"Ad Hoc Planning View")),"Offline")</f>
        <v xml:space="preserve"> DP 120 Statistical Forecast</v>
      </c>
      <c r="L1" s="98"/>
      <c r="M1" s="98"/>
      <c r="N1" s="98"/>
      <c r="O1" s="98"/>
      <c r="P1" s="98"/>
      <c r="Q1" s="99" t="str">
        <f>"User: "&amp;_xll.IBPUser()&amp;"   |    Planning Area: "&amp;IFERROR(SOP_Planning_Area,"Offline")&amp;"
"&amp;"Template: "&amp;IFERROR(SOP_Template_Name,"none")</f>
        <v>User: #Error, no current connection.   |    Planning Area: UPA2208
Template: DP 120 Statistical Forecast</v>
      </c>
      <c r="R1" s="99"/>
      <c r="S1" s="99"/>
      <c r="T1" s="99"/>
      <c r="U1" s="99"/>
      <c r="V1" s="99"/>
      <c r="W1" s="35"/>
      <c r="X1" s="24"/>
      <c r="Y1" s="24"/>
      <c r="Z1" s="24"/>
      <c r="AA1" s="24"/>
      <c r="AB1" s="24"/>
      <c r="AC1" s="24"/>
      <c r="AD1" s="24"/>
      <c r="BR1" s="26"/>
      <c r="BS1" s="26"/>
      <c r="BT1" s="26"/>
      <c r="BU1" s="26"/>
      <c r="BV1" s="26"/>
      <c r="BW1" s="26"/>
      <c r="BX1" s="26"/>
      <c r="BY1" s="26"/>
      <c r="BZ1" s="26"/>
      <c r="CA1" s="26"/>
      <c r="CB1" s="26"/>
      <c r="CC1" s="26"/>
      <c r="CD1" s="26"/>
    </row>
    <row r="2" spans="1:114" s="25" customFormat="1" ht="28.35" customHeight="1">
      <c r="A2" s="100"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(Ad Hoc Filter) (3 criteria): 
Customer ID = 0010100001
Location ID = 3710
Product ID = IBP-120
</v>
      </c>
      <c r="B2" s="100"/>
      <c r="C2" s="100"/>
      <c r="D2" s="100"/>
      <c r="E2" s="100"/>
      <c r="F2" s="100"/>
      <c r="G2" s="100"/>
      <c r="H2" s="100"/>
      <c r="I2" s="100"/>
      <c r="J2" s="102" t="str">
        <f>"UOM:  "&amp;SOP_TargetUoM &amp;CHAR(10) &amp;"Currency:  " &amp; SOP_TargetCurrency</f>
        <v>UOM:  EA
Currency:  USD</v>
      </c>
      <c r="K2" s="102"/>
      <c r="L2" s="52"/>
      <c r="M2" s="52"/>
      <c r="N2" s="52"/>
      <c r="O2" s="52"/>
      <c r="P2" s="52"/>
      <c r="Q2" s="53"/>
      <c r="R2" s="53"/>
      <c r="S2" s="53"/>
      <c r="T2" s="53"/>
      <c r="U2" s="53"/>
      <c r="V2" s="53"/>
      <c r="W2" s="35"/>
      <c r="X2" s="24"/>
      <c r="Y2" s="24"/>
      <c r="Z2" s="24"/>
      <c r="AA2" s="24"/>
      <c r="AB2" s="24"/>
      <c r="AC2" s="24"/>
      <c r="AD2" s="24"/>
      <c r="BR2" s="26"/>
      <c r="BS2" s="26"/>
      <c r="BT2" s="26"/>
      <c r="BU2" s="26"/>
      <c r="BV2" s="26"/>
      <c r="BW2" s="26"/>
      <c r="BX2" s="26"/>
      <c r="BY2" s="26"/>
      <c r="BZ2" s="26"/>
      <c r="CA2" s="26"/>
      <c r="CB2" s="26"/>
      <c r="CC2" s="26"/>
      <c r="CD2" s="26"/>
    </row>
    <row r="3" spans="1:114" s="25" customFormat="1" ht="24.75" customHeight="1">
      <c r="A3" s="100" t="str">
        <f>"Value-Based Filter: "&amp;SOP_Value_Based_Filter_Name&amp;": "&amp;" 
"&amp;IFERROR(INDEX(SOP_Value_Based_Filter,1),"")</f>
        <v xml:space="preserve">Value-Based Filter: (None):  
 </v>
      </c>
      <c r="B3" s="100"/>
      <c r="C3" s="100"/>
      <c r="D3" s="100"/>
      <c r="E3" s="100"/>
      <c r="F3" s="100"/>
      <c r="G3" s="100"/>
      <c r="H3" s="100"/>
      <c r="I3" s="100"/>
      <c r="J3" s="100"/>
      <c r="K3" s="101" t="str">
        <f>"  Last Refresh: "&amp;IFERROR(YEAR(SOP_Refresh_Timestamp)&amp;"-"&amp;TEXT(SOP_Refresh_Timestamp,"MMM")&amp;"-"&amp;DAY(SOP_Refresh_Timestamp)&amp;"   "&amp;TEXT(SOP_Refresh_Timestamp,"HH:MM:SS"),"Offline")</f>
        <v xml:space="preserve">  Last Refresh: 2022-May-9   14:06:35</v>
      </c>
      <c r="L3" s="101"/>
      <c r="M3" s="101"/>
      <c r="N3" s="101"/>
      <c r="O3" s="101"/>
      <c r="P3" s="101"/>
      <c r="Q3" s="101"/>
      <c r="R3" s="101"/>
      <c r="S3" s="101"/>
      <c r="T3" s="101"/>
      <c r="U3" s="101"/>
      <c r="V3" s="101"/>
      <c r="W3" s="35"/>
      <c r="X3" s="24"/>
      <c r="Y3" s="24"/>
      <c r="Z3" s="24"/>
      <c r="AA3" s="24"/>
      <c r="AB3" s="24"/>
      <c r="AC3" s="24"/>
      <c r="AD3" s="24"/>
      <c r="BR3" s="26"/>
      <c r="BS3" s="26"/>
      <c r="BT3" s="26"/>
      <c r="BU3" s="26"/>
      <c r="BV3" s="26"/>
      <c r="BW3" s="26"/>
      <c r="BX3" s="26"/>
      <c r="BY3" s="26"/>
      <c r="BZ3" s="26"/>
      <c r="CA3" s="26"/>
      <c r="CB3" s="26"/>
      <c r="CC3" s="26"/>
      <c r="CD3" s="26"/>
    </row>
    <row r="4" spans="1:114" s="23" customFormat="1" ht="166.5" customHeight="1">
      <c r="A4" s="95"/>
      <c r="B4" s="95"/>
      <c r="C4" s="95"/>
      <c r="D4" s="95"/>
      <c r="E4" s="95"/>
      <c r="F4" s="95"/>
      <c r="G4" s="95"/>
      <c r="H4" s="95"/>
      <c r="I4" s="95"/>
      <c r="J4" s="95"/>
    </row>
    <row r="5" spans="1:114" s="28" customFormat="1">
      <c r="A5" s="27" t="str">
        <f>SOP_Heading10</f>
        <v xml:space="preserve"> </v>
      </c>
      <c r="B5" s="27" t="str">
        <f>SOP_Heading9</f>
        <v xml:space="preserve"> </v>
      </c>
      <c r="C5" s="27" t="str">
        <f>SOP_Heading8</f>
        <v xml:space="preserve"> </v>
      </c>
      <c r="D5" s="27" t="str">
        <f>SOP_Heading7</f>
        <v xml:space="preserve"> </v>
      </c>
      <c r="E5" s="27" t="str">
        <f>SOP_Heading6</f>
        <v xml:space="preserve"> </v>
      </c>
      <c r="F5" s="27" t="str">
        <f>SOP_Heading5</f>
        <v xml:space="preserve"> </v>
      </c>
      <c r="G5" s="27" t="str">
        <f>SOP_Heading4</f>
        <v>Product ID</v>
      </c>
      <c r="H5" s="27" t="str">
        <f>SOP_Heading3</f>
        <v>Location ID</v>
      </c>
      <c r="I5" s="27" t="str">
        <f>SOP_Heading2</f>
        <v>Customer ID</v>
      </c>
      <c r="J5" s="27" t="str">
        <f>SOP_Heading1</f>
        <v>Key Figure</v>
      </c>
      <c r="K5" s="33" t="str">
        <f xml:space="preserve"> _xll.EPMOlapMemberO("[PERIODID4].[].[200383]","","CW19 M5 2021","","000")</f>
        <v>CW19 M5 2021</v>
      </c>
      <c r="L5" s="33" t="str">
        <f xml:space="preserve"> _xll.EPMOlapMemberO("[PERIODID4].[].[200384]","","CW20 M5 2021","","000")</f>
        <v>CW20 M5 2021</v>
      </c>
      <c r="M5" s="33" t="str">
        <f xml:space="preserve"> _xll.EPMOlapMemberO("[PERIODID4].[].[200385]","","CW21 M5 2021","","000")</f>
        <v>CW21 M5 2021</v>
      </c>
      <c r="N5" s="33" t="str">
        <f xml:space="preserve"> _xll.EPMOlapMemberO("[PERIODID4].[].[200386]","","CW22 M6 2021","","000")</f>
        <v>CW22 M6 2021</v>
      </c>
      <c r="O5" s="33" t="str">
        <f xml:space="preserve"> _xll.EPMOlapMemberO("[PERIODID4].[].[200387]","","CW23 M6 2021","","000")</f>
        <v>CW23 M6 2021</v>
      </c>
      <c r="P5" s="33" t="str">
        <f xml:space="preserve"> _xll.EPMOlapMemberO("[PERIODID4].[].[200388]","","CW24 M6 2021","","000")</f>
        <v>CW24 M6 2021</v>
      </c>
      <c r="Q5" s="33" t="str">
        <f xml:space="preserve"> _xll.EPMOlapMemberO("[PERIODID4].[].[200389]","","CW25 M6 2021","","000")</f>
        <v>CW25 M6 2021</v>
      </c>
      <c r="R5" s="33" t="str">
        <f xml:space="preserve"> _xll.EPMOlapMemberO("[PERIODID4].[].[200390]","","CW26 M6 2021","","000")</f>
        <v>CW26 M6 2021</v>
      </c>
      <c r="S5" s="33" t="str">
        <f xml:space="preserve"> _xll.EPMOlapMemberO("[PERIODID4].[].[200391]","","CW27 M7 2021","","000")</f>
        <v>CW27 M7 2021</v>
      </c>
      <c r="T5" s="33" t="str">
        <f xml:space="preserve"> _xll.EPMOlapMemberO("[PERIODID4].[].[200392]","","CW28 M7 2021","","000")</f>
        <v>CW28 M7 2021</v>
      </c>
      <c r="U5" s="33" t="str">
        <f xml:space="preserve"> _xll.EPMOlapMemberO("[PERIODID4].[].[200393]","","CW29 M7 2021","","000")</f>
        <v>CW29 M7 2021</v>
      </c>
      <c r="V5" s="33" t="str">
        <f xml:space="preserve"> _xll.EPMOlapMemberO("[PERIODID4].[].[200394]","","CW30 M7 2021","","000")</f>
        <v>CW30 M7 2021</v>
      </c>
      <c r="W5" s="33" t="str">
        <f xml:space="preserve"> _xll.EPMOlapMemberO("[PERIODID4].[].[200395]","","CW31 M8 2021","","000")</f>
        <v>CW31 M8 2021</v>
      </c>
      <c r="X5" s="33" t="str">
        <f xml:space="preserve"> _xll.EPMOlapMemberO("[PERIODID4].[].[200396]","","CW32 M8 2021","","000")</f>
        <v>CW32 M8 2021</v>
      </c>
      <c r="Y5" s="33" t="str">
        <f xml:space="preserve"> _xll.EPMOlapMemberO("[PERIODID4].[].[200397]","","CW33 M8 2021","","000")</f>
        <v>CW33 M8 2021</v>
      </c>
      <c r="Z5" s="33" t="str">
        <f xml:space="preserve"> _xll.EPMOlapMemberO("[PERIODID4].[].[200398]","","CW34 M8 2021","","000")</f>
        <v>CW34 M8 2021</v>
      </c>
      <c r="AA5" s="33" t="str">
        <f xml:space="preserve"> _xll.EPMOlapMemberO("[PERIODID4].[].[200399]","","CW35 M9 2021","","000")</f>
        <v>CW35 M9 2021</v>
      </c>
      <c r="AB5" s="33" t="str">
        <f xml:space="preserve"> _xll.EPMOlapMemberO("[PERIODID4].[].[200400]","","CW36 M9 2021","","000")</f>
        <v>CW36 M9 2021</v>
      </c>
      <c r="AC5" s="33" t="str">
        <f xml:space="preserve"> _xll.EPMOlapMemberO("[PERIODID4].[].[200401]","","CW37 M9 2021","","000")</f>
        <v>CW37 M9 2021</v>
      </c>
      <c r="AD5" s="33" t="str">
        <f xml:space="preserve"> _xll.EPMOlapMemberO("[PERIODID4].[].[200402]","","CW38 M9 2021","","000")</f>
        <v>CW38 M9 2021</v>
      </c>
      <c r="AE5" s="33" t="str">
        <f xml:space="preserve"> _xll.EPMOlapMemberO("[PERIODID4].[].[200403]","","CW39 M9 2021","","000")</f>
        <v>CW39 M9 2021</v>
      </c>
      <c r="AF5" s="33" t="str">
        <f xml:space="preserve"> _xll.EPMOlapMemberO("[PERIODID4].[].[200404]","","CW40 M10 2021","","000")</f>
        <v>CW40 M10 2021</v>
      </c>
      <c r="AG5" s="33" t="str">
        <f xml:space="preserve"> _xll.EPMOlapMemberO("[PERIODID4].[].[200405]","","CW41 M10 2021","","000")</f>
        <v>CW41 M10 2021</v>
      </c>
      <c r="AH5" s="33" t="str">
        <f xml:space="preserve"> _xll.EPMOlapMemberO("[PERIODID4].[].[200406]","","CW42 M10 2021","","000")</f>
        <v>CW42 M10 2021</v>
      </c>
      <c r="AI5" s="33" t="str">
        <f xml:space="preserve"> _xll.EPMOlapMemberO("[PERIODID4].[].[200407]","","CW43 M10 2021","","000")</f>
        <v>CW43 M10 2021</v>
      </c>
      <c r="AJ5" s="33" t="str">
        <f xml:space="preserve"> _xll.EPMOlapMemberO("[PERIODID4].[].[200408]","","CW44 M11 2021","","000")</f>
        <v>CW44 M11 2021</v>
      </c>
      <c r="AK5" s="33" t="str">
        <f xml:space="preserve"> _xll.EPMOlapMemberO("[PERIODID4].[].[200409]","","CW45 M11 2021","","000")</f>
        <v>CW45 M11 2021</v>
      </c>
      <c r="AL5" s="33" t="str">
        <f xml:space="preserve"> _xll.EPMOlapMemberO("[PERIODID4].[].[200410]","","CW46 M11 2021","","000")</f>
        <v>CW46 M11 2021</v>
      </c>
      <c r="AM5" s="33" t="str">
        <f xml:space="preserve"> _xll.EPMOlapMemberO("[PERIODID4].[].[200411]","","CW47 M11 2021","","000")</f>
        <v>CW47 M11 2021</v>
      </c>
      <c r="AN5" s="33" t="str">
        <f xml:space="preserve"> _xll.EPMOlapMemberO("[PERIODID4].[].[200412]","","CW48 M12 2021","","000")</f>
        <v>CW48 M12 2021</v>
      </c>
      <c r="AO5" s="33" t="str">
        <f xml:space="preserve"> _xll.EPMOlapMemberO("[PERIODID4].[].[200413]","","CW49 M12 2021","","000")</f>
        <v>CW49 M12 2021</v>
      </c>
      <c r="AP5" s="33" t="str">
        <f xml:space="preserve"> _xll.EPMOlapMemberO("[PERIODID4].[].[200414]","","CW50 M12 2021","","000")</f>
        <v>CW50 M12 2021</v>
      </c>
      <c r="AQ5" s="33" t="str">
        <f xml:space="preserve"> _xll.EPMOlapMemberO("[PERIODID4].[].[200415]","","CW51 M12 2021","","000")</f>
        <v>CW51 M12 2021</v>
      </c>
      <c r="AR5" s="33" t="str">
        <f xml:space="preserve"> _xll.EPMOlapMemberO("[PERIODID4].[].[200416]","","CW52 M12 2021","","000")</f>
        <v>CW52 M12 2021</v>
      </c>
      <c r="AS5" s="33" t="str">
        <f xml:space="preserve"> _xll.EPMOlapMemberO("[PERIODID4].[].[200417]","","CW01 M1 2022","","000")</f>
        <v>CW01 M1 2022</v>
      </c>
      <c r="AT5" s="33" t="str">
        <f xml:space="preserve"> _xll.EPMOlapMemberO("[PERIODID4].[].[200418]","","CW02 M1 2022","","000")</f>
        <v>CW02 M1 2022</v>
      </c>
      <c r="AU5" s="33" t="str">
        <f xml:space="preserve"> _xll.EPMOlapMemberO("[PERIODID4].[].[200419]","","CW03 M1 2022","","000")</f>
        <v>CW03 M1 2022</v>
      </c>
      <c r="AV5" s="33" t="str">
        <f xml:space="preserve"> _xll.EPMOlapMemberO("[PERIODID4].[].[200420]","","CW04 M1 2022","","000")</f>
        <v>CW04 M1 2022</v>
      </c>
      <c r="AW5" s="33" t="str">
        <f xml:space="preserve"> _xll.EPMOlapMemberO("[PERIODID4].[].[200421]","","CW05 M2 2022","","000")</f>
        <v>CW05 M2 2022</v>
      </c>
      <c r="AX5" s="33" t="str">
        <f xml:space="preserve"> _xll.EPMOlapMemberO("[PERIODID4].[].[200422]","","CW06 M2 2022","","000")</f>
        <v>CW06 M2 2022</v>
      </c>
      <c r="AY5" s="33" t="str">
        <f xml:space="preserve"> _xll.EPMOlapMemberO("[PERIODID4].[].[200423]","","CW07 M2 2022","","000")</f>
        <v>CW07 M2 2022</v>
      </c>
      <c r="AZ5" s="33" t="str">
        <f xml:space="preserve"> _xll.EPMOlapMemberO("[PERIODID4].[].[200424]","","CW08 M2 2022","","000")</f>
        <v>CW08 M2 2022</v>
      </c>
      <c r="BA5" s="33" t="str">
        <f xml:space="preserve"> _xll.EPMOlapMemberO("[PERIODID4].[].[200425]","","CW09 M3 2022","","000")</f>
        <v>CW09 M3 2022</v>
      </c>
      <c r="BB5" s="33" t="str">
        <f xml:space="preserve"> _xll.EPMOlapMemberO("[PERIODID4].[].[200426]","","CW10 M3 2022","","000")</f>
        <v>CW10 M3 2022</v>
      </c>
      <c r="BC5" s="33" t="str">
        <f xml:space="preserve"> _xll.EPMOlapMemberO("[PERIODID4].[].[200427]","","CW11 M3 2022","","000")</f>
        <v>CW11 M3 2022</v>
      </c>
      <c r="BD5" s="33" t="str">
        <f xml:space="preserve"> _xll.EPMOlapMemberO("[PERIODID4].[].[200428]","","CW12 M3 2022","","000")</f>
        <v>CW12 M3 2022</v>
      </c>
      <c r="BE5" s="33" t="str">
        <f xml:space="preserve"> _xll.EPMOlapMemberO("[PERIODID4].[].[200429]","","CW13 M3 2022","","000")</f>
        <v>CW13 M3 2022</v>
      </c>
      <c r="BF5" s="33" t="str">
        <f xml:space="preserve"> _xll.EPMOlapMemberO("[PERIODID4].[].[200430]","","CW14 M4 2022","","000")</f>
        <v>CW14 M4 2022</v>
      </c>
      <c r="BG5" s="33" t="str">
        <f xml:space="preserve"> _xll.EPMOlapMemberO("[PERIODID4].[].[200431]","","CW15 M4 2022","","000")</f>
        <v>CW15 M4 2022</v>
      </c>
      <c r="BH5" s="33" t="str">
        <f xml:space="preserve"> _xll.EPMOlapMemberO("[PERIODID4].[].[200432]","","CW16 M4 2022","","000")</f>
        <v>CW16 M4 2022</v>
      </c>
      <c r="BI5" s="33" t="str">
        <f xml:space="preserve"> _xll.EPMOlapMemberO("[PERIODID4].[].[200433]","","CW17 M4 2022","","000")</f>
        <v>CW17 M4 2022</v>
      </c>
      <c r="BJ5" s="33" t="str">
        <f xml:space="preserve"> _xll.EPMOlapMemberO("[PERIODID4].[].[200434]","","CW18 M5 2022","","000")</f>
        <v>CW18 M5 2022</v>
      </c>
      <c r="BK5" s="33" t="str">
        <f xml:space="preserve"> _xll.EPMOlapMemberO("[PERIODID4].[].[200435]","","CW19 M5 2022","","000")</f>
        <v>CW19 M5 2022</v>
      </c>
      <c r="BL5" s="33" t="str">
        <f xml:space="preserve"> _xll.EPMOlapMemberO("[PERIODID4].[].[200436]","","CW20 M5 2022","","000")</f>
        <v>CW20 M5 2022</v>
      </c>
      <c r="BM5" s="33" t="str">
        <f xml:space="preserve"> _xll.EPMOlapMemberO("[PERIODID4].[].[200437]","","CW21 M5 2022","","000")</f>
        <v>CW21 M5 2022</v>
      </c>
      <c r="BN5" s="33" t="str">
        <f xml:space="preserve"> _xll.EPMOlapMemberO("[PERIODID4].[].[200438]","","CW22 M6 2022","","000")</f>
        <v>CW22 M6 2022</v>
      </c>
      <c r="BO5" s="33" t="str">
        <f xml:space="preserve"> _xll.EPMOlapMemberO("[PERIODID4].[].[200439]","","CW23 M6 2022","","000")</f>
        <v>CW23 M6 2022</v>
      </c>
      <c r="BP5" s="33" t="str">
        <f xml:space="preserve"> _xll.EPMOlapMemberO("[PERIODID4].[].[200440]","","CW24 M6 2022","","000")</f>
        <v>CW24 M6 2022</v>
      </c>
      <c r="BQ5" s="33" t="str">
        <f xml:space="preserve"> _xll.EPMOlapMemberO("[PERIODID4].[].[200441]","","CW25 M6 2022","","000")</f>
        <v>CW25 M6 2022</v>
      </c>
      <c r="BR5" s="33" t="str">
        <f xml:space="preserve"> _xll.EPMOlapMemberO("[PERIODID4].[].[200442]","","CW26 M6 2022","","000")</f>
        <v>CW26 M6 2022</v>
      </c>
      <c r="BS5" s="33" t="str">
        <f xml:space="preserve"> _xll.EPMOlapMemberO("[PERIODID4].[].[200443]","","CW27 M7 2022","","000")</f>
        <v>CW27 M7 2022</v>
      </c>
      <c r="BT5" s="33" t="str">
        <f xml:space="preserve"> _xll.EPMOlapMemberO("[PERIODID4].[].[200444]","","CW28 M7 2022","","000")</f>
        <v>CW28 M7 2022</v>
      </c>
      <c r="BU5" s="33" t="str">
        <f xml:space="preserve"> _xll.EPMOlapMemberO("[PERIODID4].[].[200445]","","CW29 M7 2022","","000")</f>
        <v>CW29 M7 2022</v>
      </c>
      <c r="BV5" s="33" t="str">
        <f xml:space="preserve"> _xll.EPMOlapMemberO("[PERIODID4].[].[200446]","","CW30 M7 2022","","000")</f>
        <v>CW30 M7 2022</v>
      </c>
      <c r="BW5" s="33" t="str">
        <f xml:space="preserve"> _xll.EPMOlapMemberO("[PERIODID4].[].[200447]","","CW31 M8 2022","","000")</f>
        <v>CW31 M8 2022</v>
      </c>
      <c r="BX5" s="33" t="str">
        <f xml:space="preserve"> _xll.EPMOlapMemberO("[PERIODID4].[].[200448]","","CW32 M8 2022","","000")</f>
        <v>CW32 M8 2022</v>
      </c>
      <c r="BY5" s="33" t="str">
        <f xml:space="preserve"> _xll.EPMOlapMemberO("[PERIODID4].[].[200449]","","CW33 M8 2022","","000")</f>
        <v>CW33 M8 2022</v>
      </c>
      <c r="BZ5" s="33" t="str">
        <f xml:space="preserve"> _xll.EPMOlapMemberO("[PERIODID4].[].[200450]","","CW34 M8 2022","","000")</f>
        <v>CW34 M8 2022</v>
      </c>
      <c r="CA5" s="33" t="str">
        <f xml:space="preserve"> _xll.EPMOlapMemberO("[PERIODID4].[].[200451]","","CW35 M9 2022","","000")</f>
        <v>CW35 M9 2022</v>
      </c>
      <c r="CB5" s="33" t="str">
        <f xml:space="preserve"> _xll.EPMOlapMemberO("[PERIODID4].[].[200452]","","CW36 M9 2022","","000")</f>
        <v>CW36 M9 2022</v>
      </c>
      <c r="CC5" s="33" t="str">
        <f xml:space="preserve"> _xll.EPMOlapMemberO("[PERIODID4].[].[200453]","","CW37 M9 2022","","000")</f>
        <v>CW37 M9 2022</v>
      </c>
      <c r="CD5" s="33" t="str">
        <f xml:space="preserve"> _xll.EPMOlapMemberO("[PERIODID4].[].[200454]","","CW38 M9 2022","","000")</f>
        <v>CW38 M9 2022</v>
      </c>
      <c r="CE5" s="33" t="str">
        <f xml:space="preserve"> _xll.EPMOlapMemberO("[PERIODID4].[].[200455]","","CW39 M9 2022","","000")</f>
        <v>CW39 M9 2022</v>
      </c>
      <c r="CF5" s="33" t="str">
        <f xml:space="preserve"> _xll.EPMOlapMemberO("[PERIODID4].[].[200456]","","CW40 M10 2022","","000")</f>
        <v>CW40 M10 2022</v>
      </c>
      <c r="CG5" s="33" t="str">
        <f xml:space="preserve"> _xll.EPMOlapMemberO("[PERIODID4].[].[200457]","","CW41 M10 2022","","000")</f>
        <v>CW41 M10 2022</v>
      </c>
      <c r="CH5" s="33" t="str">
        <f xml:space="preserve"> _xll.EPMOlapMemberO("[PERIODID4].[].[200458]","","CW42 M10 2022","","000")</f>
        <v>CW42 M10 2022</v>
      </c>
      <c r="CI5" s="33" t="str">
        <f xml:space="preserve"> _xll.EPMOlapMemberO("[PERIODID4].[].[200459]","","CW43 M10 2022","","000")</f>
        <v>CW43 M10 2022</v>
      </c>
      <c r="CJ5" s="33" t="str">
        <f xml:space="preserve"> _xll.EPMOlapMemberO("[PERIODID4].[].[200460]","","CW44 M11 2022","","000")</f>
        <v>CW44 M11 2022</v>
      </c>
      <c r="CK5" s="33" t="str">
        <f xml:space="preserve"> _xll.EPMOlapMemberO("[PERIODID4].[].[200461]","","CW45 M11 2022","","000")</f>
        <v>CW45 M11 2022</v>
      </c>
      <c r="CL5" s="33" t="str">
        <f xml:space="preserve"> _xll.EPMOlapMemberO("[PERIODID4].[].[200462]","","CW46 M11 2022","","000")</f>
        <v>CW46 M11 2022</v>
      </c>
      <c r="CM5" s="33" t="str">
        <f xml:space="preserve"> _xll.EPMOlapMemberO("[PERIODID4].[].[200463]","","CW47 M11 2022","","000")</f>
        <v>CW47 M11 2022</v>
      </c>
      <c r="CN5" s="33" t="str">
        <f xml:space="preserve"> _xll.EPMOlapMemberO("[PERIODID4].[].[200464]","","CW48 M12 2022","","000")</f>
        <v>CW48 M12 2022</v>
      </c>
      <c r="CO5" s="33" t="str">
        <f xml:space="preserve"> _xll.EPMOlapMemberO("[PERIODID4].[].[200465]","","CW49 M12 2022","","000")</f>
        <v>CW49 M12 2022</v>
      </c>
      <c r="CP5" s="33" t="str">
        <f xml:space="preserve"> _xll.EPMOlapMemberO("[PERIODID4].[].[200466]","","CW50 M12 2022","","000")</f>
        <v>CW50 M12 2022</v>
      </c>
      <c r="CQ5" s="33" t="str">
        <f xml:space="preserve"> _xll.EPMOlapMemberO("[PERIODID4].[].[200467]","","CW51 M12 2022","","000")</f>
        <v>CW51 M12 2022</v>
      </c>
      <c r="CR5" s="33" t="str">
        <f xml:space="preserve"> _xll.EPMOlapMemberO("[PERIODID4].[].[200468]","","CW52 M12 2022","","000")</f>
        <v>CW52 M12 2022</v>
      </c>
      <c r="CS5" s="33" t="str">
        <f xml:space="preserve"> _xll.EPMOlapMemberO("[PERIODID4].[].[200469]","","CW01 M1 2023","","000")</f>
        <v>CW01 M1 2023</v>
      </c>
      <c r="CT5" s="33" t="str">
        <f xml:space="preserve"> _xll.EPMOlapMemberO("[PERIODID4].[].[200470]","","CW02 M1 2023","","000")</f>
        <v>CW02 M1 2023</v>
      </c>
      <c r="CU5" s="33" t="str">
        <f xml:space="preserve"> _xll.EPMOlapMemberO("[PERIODID4].[].[200471]","","CW03 M1 2023","","000")</f>
        <v>CW03 M1 2023</v>
      </c>
      <c r="CV5" s="33" t="str">
        <f xml:space="preserve"> _xll.EPMOlapMemberO("[PERIODID4].[].[200472]","","CW04 M1 2023","","000")</f>
        <v>CW04 M1 2023</v>
      </c>
      <c r="CW5" s="33" t="str">
        <f xml:space="preserve"> _xll.EPMOlapMemberO("[PERIODID4].[].[200473]","","CW05 M2 2023","","000")</f>
        <v>CW05 M2 2023</v>
      </c>
      <c r="CX5" s="33" t="str">
        <f xml:space="preserve"> _xll.EPMOlapMemberO("[PERIODID4].[].[200474]","","CW06 M2 2023","","000")</f>
        <v>CW06 M2 2023</v>
      </c>
      <c r="CY5" s="33" t="str">
        <f xml:space="preserve"> _xll.EPMOlapMemberO("[PERIODID4].[].[200475]","","CW07 M2 2023","","000")</f>
        <v>CW07 M2 2023</v>
      </c>
      <c r="CZ5" s="33" t="str">
        <f xml:space="preserve"> _xll.EPMOlapMemberO("[PERIODID4].[].[200476]","","CW08 M2 2023","","000")</f>
        <v>CW08 M2 2023</v>
      </c>
      <c r="DA5" s="33" t="str">
        <f xml:space="preserve"> _xll.EPMOlapMemberO("[PERIODID4].[].[200477]","","CW09 M3 2023","","000")</f>
        <v>CW09 M3 2023</v>
      </c>
      <c r="DB5" s="33" t="str">
        <f xml:space="preserve"> _xll.EPMOlapMemberO("[PERIODID4].[].[200478]","","CW10 M3 2023","","000")</f>
        <v>CW10 M3 2023</v>
      </c>
      <c r="DC5" s="33" t="str">
        <f xml:space="preserve"> _xll.EPMOlapMemberO("[PERIODID4].[].[200479]","","CW11 M3 2023","","000")</f>
        <v>CW11 M3 2023</v>
      </c>
      <c r="DD5" s="33" t="str">
        <f xml:space="preserve"> _xll.EPMOlapMemberO("[PERIODID4].[].[200480]","","CW12 M3 2023","","000")</f>
        <v>CW12 M3 2023</v>
      </c>
      <c r="DE5" s="33" t="str">
        <f xml:space="preserve"> _xll.EPMOlapMemberO("[PERIODID4].[].[200481]","","CW13 M3 2023","","000")</f>
        <v>CW13 M3 2023</v>
      </c>
      <c r="DF5" s="33" t="str">
        <f xml:space="preserve"> _xll.EPMOlapMemberO("[PERIODID4].[].[200482]","","CW14 M4 2023","","000")</f>
        <v>CW14 M4 2023</v>
      </c>
      <c r="DG5" s="33" t="str">
        <f xml:space="preserve"> _xll.EPMOlapMemberO("[PERIODID4].[].[200483]","","CW15 M4 2023","","000")</f>
        <v>CW15 M4 2023</v>
      </c>
      <c r="DH5" s="33" t="str">
        <f xml:space="preserve"> _xll.EPMOlapMemberO("[PERIODID4].[].[200484]","","CW16 M4 2023","","000")</f>
        <v>CW16 M4 2023</v>
      </c>
      <c r="DI5" s="33" t="str">
        <f xml:space="preserve"> _xll.EPMOlapMemberO("[PERIODID4].[].[200485]","","CW17 M4 2023","","000")</f>
        <v>CW17 M4 2023</v>
      </c>
      <c r="DJ5" s="33" t="str">
        <f xml:space="preserve"> _xll.EPMOlapMemberO("[PERIODID4].[].[200486]","","CW18 M5 2023","","000")</f>
        <v>CW18 M5 2023</v>
      </c>
    </row>
    <row r="6" spans="1:114">
      <c r="G6" s="42" t="str">
        <f xml:space="preserve"> _xll.EPMOlapMemberO("[PRDID].[].[IBP-120]","","IBP-120","","000")</f>
        <v>IBP-120</v>
      </c>
      <c r="H6" s="42" t="str">
        <f xml:space="preserve"> _xll.EPMOlapMemberO("[LOCID].[].[3710]","","3710","","000")</f>
        <v>3710</v>
      </c>
      <c r="I6" s="42" t="str">
        <f xml:space="preserve"> _xll.EPMOlapMemberO("[CUSTID].[].[0010100001]","","0010100001","","000")</f>
        <v>0010100001</v>
      </c>
      <c r="J6" s="42" t="str">
        <f xml:space="preserve"> _xll.EPMOlapMemberO("[KEY_FIGURES].[].[ADJUSTEDACTUALSQTY]","","Actuals Qty Adj.","","000")</f>
        <v>Actuals Qty Adj.</v>
      </c>
      <c r="K6" s="62">
        <v>679</v>
      </c>
      <c r="L6" s="62">
        <v>627</v>
      </c>
      <c r="M6" s="62">
        <v>736</v>
      </c>
      <c r="N6" s="62">
        <v>756</v>
      </c>
      <c r="O6" s="62">
        <v>723</v>
      </c>
      <c r="P6" s="62">
        <v>520</v>
      </c>
      <c r="Q6" s="62">
        <v>702</v>
      </c>
      <c r="R6" s="62">
        <v>900</v>
      </c>
      <c r="S6" s="62">
        <v>1000</v>
      </c>
      <c r="T6" s="62">
        <v>900</v>
      </c>
      <c r="U6" s="62">
        <v>825</v>
      </c>
      <c r="V6" s="62">
        <v>805</v>
      </c>
      <c r="W6" s="62">
        <v>732</v>
      </c>
      <c r="X6" s="62">
        <v>692</v>
      </c>
      <c r="Y6" s="62">
        <v>689</v>
      </c>
      <c r="Z6" s="62">
        <v>741</v>
      </c>
      <c r="AA6" s="62">
        <v>699</v>
      </c>
      <c r="AB6" s="62">
        <v>811</v>
      </c>
      <c r="AC6" s="62">
        <v>628</v>
      </c>
      <c r="AD6" s="62">
        <v>681</v>
      </c>
      <c r="AE6" s="62">
        <v>792</v>
      </c>
      <c r="AF6" s="62">
        <v>1200</v>
      </c>
      <c r="AG6" s="62">
        <v>1400</v>
      </c>
      <c r="AH6" s="62">
        <v>1300</v>
      </c>
      <c r="AI6" s="62">
        <v>679</v>
      </c>
      <c r="AJ6" s="62">
        <v>709</v>
      </c>
      <c r="AK6" s="62">
        <v>681</v>
      </c>
      <c r="AL6" s="62">
        <v>565</v>
      </c>
      <c r="AM6" s="62">
        <v>725</v>
      </c>
      <c r="AN6" s="62">
        <v>628</v>
      </c>
      <c r="AO6" s="62">
        <v>1100</v>
      </c>
      <c r="AP6" s="62">
        <v>1300</v>
      </c>
      <c r="AQ6" s="62">
        <v>1500</v>
      </c>
      <c r="AR6" s="62">
        <v>200</v>
      </c>
      <c r="AS6" s="62">
        <v>500</v>
      </c>
      <c r="AT6" s="62">
        <v>619</v>
      </c>
      <c r="AU6" s="62">
        <v>820</v>
      </c>
      <c r="AV6" s="62">
        <v>815</v>
      </c>
      <c r="AW6" s="62">
        <v>780</v>
      </c>
      <c r="AX6" s="62">
        <v>690</v>
      </c>
      <c r="AY6" s="62">
        <v>766</v>
      </c>
      <c r="AZ6" s="62">
        <v>603</v>
      </c>
      <c r="BA6" s="62">
        <v>705</v>
      </c>
      <c r="BB6" s="62">
        <v>668</v>
      </c>
      <c r="BC6" s="62">
        <v>613</v>
      </c>
      <c r="BD6" s="62">
        <v>732</v>
      </c>
      <c r="BE6" s="62">
        <v>554</v>
      </c>
      <c r="BF6" s="62">
        <v>641</v>
      </c>
      <c r="BG6" s="62">
        <v>900</v>
      </c>
      <c r="BH6" s="62">
        <v>1200</v>
      </c>
      <c r="BI6" s="62">
        <v>1400</v>
      </c>
      <c r="BJ6" s="62">
        <v>350</v>
      </c>
      <c r="BK6" s="62">
        <v>450</v>
      </c>
      <c r="BL6" s="62">
        <v>601</v>
      </c>
      <c r="BM6" s="62">
        <v>573</v>
      </c>
      <c r="BN6" s="62">
        <v>683</v>
      </c>
      <c r="BO6" s="62">
        <v>765</v>
      </c>
      <c r="BP6" s="62">
        <v>774</v>
      </c>
      <c r="BQ6" s="62">
        <v>753</v>
      </c>
      <c r="BR6" s="62">
        <v>785</v>
      </c>
      <c r="BS6" s="62">
        <v>800</v>
      </c>
      <c r="BT6" s="62">
        <v>600</v>
      </c>
      <c r="BU6" s="62">
        <v>500</v>
      </c>
      <c r="BV6" s="62"/>
      <c r="BW6" s="62"/>
      <c r="BX6" s="62"/>
      <c r="BY6" s="62"/>
      <c r="BZ6" s="62"/>
      <c r="CA6" s="62"/>
      <c r="CB6" s="62"/>
      <c r="CC6" s="62"/>
      <c r="CD6" s="62"/>
      <c r="CE6" s="62"/>
      <c r="CF6" s="62"/>
      <c r="CG6" s="62"/>
      <c r="CH6" s="62"/>
      <c r="CI6" s="62"/>
      <c r="CJ6" s="62"/>
      <c r="CK6" s="62"/>
      <c r="CL6" s="62"/>
      <c r="CM6" s="62"/>
      <c r="CN6" s="62"/>
      <c r="CO6" s="62"/>
      <c r="CP6" s="62"/>
      <c r="CQ6" s="62"/>
      <c r="CR6" s="62"/>
      <c r="CS6" s="62"/>
      <c r="CT6" s="62"/>
      <c r="CU6" s="62"/>
      <c r="CV6" s="62"/>
      <c r="CW6" s="62"/>
      <c r="CX6" s="62"/>
      <c r="CY6" s="62"/>
      <c r="CZ6" s="62"/>
      <c r="DA6" s="62"/>
      <c r="DB6" s="62"/>
      <c r="DC6" s="62"/>
      <c r="DD6" s="62"/>
      <c r="DE6" s="62"/>
      <c r="DF6" s="62"/>
      <c r="DG6" s="62"/>
      <c r="DH6" s="62"/>
      <c r="DI6" s="62"/>
      <c r="DJ6" s="62"/>
    </row>
    <row r="7" spans="1:114">
      <c r="G7" s="21"/>
      <c r="H7" s="21"/>
      <c r="I7" s="21"/>
      <c r="J7" s="21" t="str">
        <f xml:space="preserve"> _xll.EPMOlapMemberO("[KEY_FIGURES].[].[CALEVENT]","","Calendar Event","","000")</f>
        <v>Calendar Event</v>
      </c>
      <c r="K7" s="30"/>
      <c r="L7" s="30"/>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v>20</v>
      </c>
      <c r="AR7" s="30"/>
      <c r="AS7" s="30"/>
      <c r="AT7" s="30"/>
      <c r="AU7" s="30"/>
      <c r="AV7" s="30"/>
      <c r="AW7" s="30"/>
      <c r="AX7" s="30"/>
      <c r="AY7" s="30"/>
      <c r="AZ7" s="30"/>
      <c r="BA7" s="30"/>
      <c r="BB7" s="30"/>
      <c r="BC7" s="30"/>
      <c r="BD7" s="30"/>
      <c r="BE7" s="30"/>
      <c r="BF7" s="30"/>
      <c r="BG7" s="30"/>
      <c r="BH7" s="30"/>
      <c r="BI7" s="30">
        <v>10</v>
      </c>
      <c r="BJ7" s="30"/>
      <c r="BK7" s="59"/>
      <c r="BL7" s="59"/>
      <c r="BM7" s="59"/>
      <c r="BN7" s="59"/>
      <c r="BO7" s="59"/>
      <c r="BP7" s="59"/>
      <c r="BQ7" s="59"/>
      <c r="BR7" s="59"/>
      <c r="BS7" s="59"/>
      <c r="BT7" s="59"/>
      <c r="BU7" s="59"/>
      <c r="BV7" s="59"/>
      <c r="BW7" s="59"/>
      <c r="BX7" s="59"/>
      <c r="BY7" s="59"/>
      <c r="BZ7" s="59"/>
      <c r="CA7" s="59"/>
      <c r="CB7" s="59"/>
      <c r="CC7" s="59"/>
      <c r="CD7" s="59"/>
      <c r="CE7" s="59"/>
      <c r="CF7" s="59"/>
      <c r="CG7" s="59"/>
      <c r="CH7" s="59"/>
      <c r="CI7" s="59"/>
      <c r="CJ7" s="59"/>
      <c r="CK7" s="59"/>
      <c r="CL7" s="59"/>
      <c r="CM7" s="59"/>
      <c r="CN7" s="59"/>
      <c r="CO7" s="59"/>
      <c r="CP7" s="59"/>
      <c r="CQ7" s="59">
        <v>20</v>
      </c>
      <c r="CR7" s="59"/>
      <c r="CS7" s="59"/>
      <c r="CT7" s="59"/>
      <c r="CU7" s="59"/>
      <c r="CV7" s="59"/>
      <c r="CW7" s="59"/>
      <c r="CX7" s="59"/>
      <c r="CY7" s="59"/>
      <c r="CZ7" s="59"/>
      <c r="DA7" s="59"/>
      <c r="DB7" s="59"/>
      <c r="DC7" s="59"/>
      <c r="DD7" s="59"/>
      <c r="DE7" s="59"/>
      <c r="DF7" s="59"/>
      <c r="DG7" s="59"/>
      <c r="DH7" s="59"/>
      <c r="DI7" s="59">
        <v>10</v>
      </c>
      <c r="DJ7" s="59"/>
    </row>
    <row r="8" spans="1:114">
      <c r="G8" s="21"/>
      <c r="H8" s="21"/>
      <c r="I8" s="21"/>
      <c r="J8" s="21" t="str">
        <f xml:space="preserve"> _xll.EPMOlapMemberO("[KEY_FIGURES].[].[MARKETINGBUDGET]","","Marketing Budget","","000")</f>
        <v>Marketing Budget</v>
      </c>
      <c r="K8" s="30"/>
      <c r="L8" s="30"/>
      <c r="M8" s="30"/>
      <c r="N8" s="30"/>
      <c r="O8" s="30"/>
      <c r="P8" s="30"/>
      <c r="Q8" s="30"/>
      <c r="R8" s="30">
        <v>90000</v>
      </c>
      <c r="S8" s="30"/>
      <c r="T8" s="30"/>
      <c r="U8" s="30"/>
      <c r="V8" s="30"/>
      <c r="W8" s="30"/>
      <c r="X8" s="30"/>
      <c r="Y8" s="30"/>
      <c r="Z8" s="30"/>
      <c r="AA8" s="30"/>
      <c r="AB8" s="30"/>
      <c r="AC8" s="30"/>
      <c r="AD8" s="30"/>
      <c r="AE8" s="30"/>
      <c r="AF8" s="30">
        <v>150000</v>
      </c>
      <c r="AG8" s="30"/>
      <c r="AH8" s="30"/>
      <c r="AI8" s="30"/>
      <c r="AJ8" s="30"/>
      <c r="AK8" s="30"/>
      <c r="AL8" s="30"/>
      <c r="AM8" s="30"/>
      <c r="AN8" s="30"/>
      <c r="AO8" s="30"/>
      <c r="AP8" s="30"/>
      <c r="AQ8" s="30"/>
      <c r="AR8" s="30"/>
      <c r="AS8" s="30"/>
      <c r="AT8" s="30"/>
      <c r="AU8" s="30"/>
      <c r="AV8" s="30"/>
      <c r="AW8" s="30"/>
      <c r="AX8" s="30"/>
      <c r="AY8" s="30"/>
      <c r="AZ8" s="30"/>
      <c r="BA8" s="30"/>
      <c r="BB8" s="30"/>
      <c r="BC8" s="30"/>
      <c r="BD8" s="30"/>
      <c r="BE8" s="30"/>
      <c r="BF8" s="30"/>
      <c r="BG8" s="30"/>
      <c r="BH8" s="30"/>
      <c r="BI8" s="30"/>
      <c r="BJ8" s="30"/>
      <c r="BK8" s="59"/>
      <c r="BL8" s="59"/>
      <c r="BM8" s="59"/>
      <c r="BN8" s="59"/>
      <c r="BO8" s="59"/>
      <c r="BP8" s="59"/>
      <c r="BQ8" s="59"/>
      <c r="BR8" s="59"/>
      <c r="BS8" s="59">
        <v>120000</v>
      </c>
      <c r="BT8" s="59"/>
      <c r="BU8" s="59"/>
      <c r="BV8" s="59"/>
      <c r="BW8" s="59"/>
      <c r="BX8" s="59"/>
      <c r="BY8" s="59"/>
      <c r="BZ8" s="59"/>
      <c r="CA8" s="59"/>
      <c r="CB8" s="59"/>
      <c r="CC8" s="59"/>
      <c r="CD8" s="59"/>
      <c r="CE8" s="59"/>
      <c r="CF8" s="59"/>
      <c r="CG8" s="59"/>
      <c r="CH8" s="59"/>
      <c r="CI8" s="59"/>
      <c r="CJ8" s="59"/>
      <c r="CK8" s="59"/>
      <c r="CL8" s="59"/>
      <c r="CM8" s="59"/>
      <c r="CN8" s="59"/>
      <c r="CO8" s="59"/>
      <c r="CP8" s="59"/>
      <c r="CQ8" s="59"/>
      <c r="CR8" s="59"/>
      <c r="CS8" s="59"/>
      <c r="CT8" s="59"/>
      <c r="CU8" s="59"/>
      <c r="CV8" s="59"/>
      <c r="CW8" s="59"/>
      <c r="CX8" s="59"/>
      <c r="CY8" s="59"/>
      <c r="CZ8" s="59"/>
      <c r="DA8" s="59"/>
      <c r="DB8" s="59"/>
      <c r="DC8" s="59"/>
      <c r="DD8" s="59"/>
      <c r="DE8" s="59"/>
      <c r="DF8" s="59"/>
      <c r="DG8" s="59"/>
      <c r="DH8" s="59"/>
      <c r="DI8" s="59"/>
      <c r="DJ8" s="59"/>
    </row>
    <row r="9" spans="1:114">
      <c r="G9" s="21"/>
      <c r="H9" s="21"/>
      <c r="I9" s="21"/>
      <c r="J9" s="21" t="str">
        <f xml:space="preserve"> _xll.EPMOlapMemberO("[KEY_FIGURES].[].[EXPOSTEVENTIMPACT]","","Ex-Post Event Impact","","000")</f>
        <v>Ex-Post Event Impact</v>
      </c>
      <c r="K9" s="30"/>
      <c r="L9" s="30"/>
      <c r="M9" s="30"/>
      <c r="N9" s="30"/>
      <c r="O9" s="30"/>
      <c r="P9" s="30"/>
      <c r="Q9" s="30"/>
      <c r="R9" s="30"/>
      <c r="S9" s="30"/>
      <c r="T9" s="30"/>
      <c r="U9" s="30"/>
      <c r="V9" s="30"/>
      <c r="W9" s="30"/>
      <c r="X9" s="30"/>
      <c r="Y9" s="30"/>
      <c r="Z9" s="30"/>
      <c r="AA9" s="30"/>
      <c r="AB9" s="30"/>
      <c r="AC9" s="30"/>
      <c r="AD9" s="30"/>
      <c r="AE9" s="30"/>
      <c r="AF9" s="30"/>
      <c r="AG9" s="30"/>
      <c r="AH9" s="30"/>
      <c r="AI9" s="30"/>
      <c r="AJ9" s="30"/>
      <c r="AK9" s="30"/>
      <c r="AL9" s="30"/>
      <c r="AM9" s="30"/>
      <c r="AN9" s="30"/>
      <c r="AO9" s="30"/>
      <c r="AP9" s="30"/>
      <c r="AQ9" s="30"/>
      <c r="AR9" s="30"/>
      <c r="AS9" s="30"/>
      <c r="AT9" s="30"/>
      <c r="AU9" s="30"/>
      <c r="AV9" s="30"/>
      <c r="AW9" s="30"/>
      <c r="AX9" s="30"/>
      <c r="AY9" s="30"/>
      <c r="AZ9" s="30"/>
      <c r="BA9" s="30"/>
      <c r="BB9" s="30"/>
      <c r="BC9" s="30"/>
      <c r="BD9" s="30"/>
      <c r="BE9" s="30"/>
      <c r="BF9" s="30"/>
      <c r="BG9" s="30"/>
      <c r="BH9" s="30"/>
      <c r="BI9" s="30"/>
      <c r="BJ9" s="30"/>
      <c r="BK9" s="30"/>
      <c r="BL9" s="30"/>
      <c r="BM9" s="30"/>
      <c r="BN9" s="30"/>
      <c r="BO9" s="30"/>
      <c r="BP9" s="30"/>
      <c r="BQ9" s="30"/>
      <c r="BR9" s="30"/>
      <c r="BS9" s="30"/>
      <c r="BT9" s="30"/>
      <c r="BU9" s="30"/>
      <c r="BV9" s="30"/>
      <c r="BW9" s="30"/>
      <c r="BX9" s="30"/>
      <c r="BY9" s="30"/>
      <c r="BZ9" s="30"/>
      <c r="CA9" s="30"/>
      <c r="CB9" s="30"/>
      <c r="CC9" s="30"/>
      <c r="CD9" s="30"/>
      <c r="CE9" s="30"/>
      <c r="CF9" s="30"/>
      <c r="CG9" s="30"/>
      <c r="CH9" s="30"/>
      <c r="CI9" s="30"/>
      <c r="CJ9" s="30"/>
      <c r="CK9" s="30"/>
      <c r="CL9" s="30"/>
      <c r="CM9" s="30"/>
      <c r="CN9" s="30"/>
      <c r="CO9" s="30"/>
      <c r="CP9" s="30"/>
      <c r="CQ9" s="30"/>
      <c r="CR9" s="30"/>
      <c r="CS9" s="30"/>
      <c r="CT9" s="30"/>
      <c r="CU9" s="30"/>
      <c r="CV9" s="30"/>
      <c r="CW9" s="30"/>
      <c r="CX9" s="30"/>
      <c r="CY9" s="30"/>
      <c r="CZ9" s="30"/>
      <c r="DA9" s="30"/>
      <c r="DB9" s="30"/>
      <c r="DC9" s="30"/>
      <c r="DD9" s="30"/>
      <c r="DE9" s="30"/>
      <c r="DF9" s="30"/>
      <c r="DG9" s="30"/>
      <c r="DH9" s="30"/>
      <c r="DI9" s="30"/>
      <c r="DJ9" s="30"/>
    </row>
    <row r="10" spans="1:114">
      <c r="G10" s="21"/>
      <c r="H10" s="21"/>
      <c r="I10" s="21"/>
      <c r="J10" s="21" t="str">
        <f xml:space="preserve"> _xll.EPMOlapMemberO("[KEY_FIGURES].[].[EXPOSTMARKETINGBUDGETIMPACT]","","Ex-Post Marketing Budget Impact","","000")</f>
        <v>Ex-Post Marketing Budget Impact</v>
      </c>
      <c r="K10" s="30"/>
      <c r="L10" s="30"/>
      <c r="M10" s="30"/>
      <c r="N10" s="30"/>
      <c r="O10" s="30"/>
      <c r="P10" s="30"/>
      <c r="Q10" s="30"/>
      <c r="R10" s="30"/>
      <c r="S10" s="30"/>
      <c r="T10" s="30"/>
      <c r="U10" s="30"/>
      <c r="V10" s="30"/>
      <c r="W10" s="30"/>
      <c r="X10" s="30"/>
      <c r="Y10" s="30"/>
      <c r="Z10" s="30"/>
      <c r="AA10" s="30"/>
      <c r="AB10" s="30"/>
      <c r="AC10" s="30"/>
      <c r="AD10" s="30"/>
      <c r="AE10" s="30"/>
      <c r="AF10" s="30"/>
      <c r="AG10" s="30"/>
      <c r="AH10" s="30"/>
      <c r="AI10" s="30"/>
      <c r="AJ10" s="30"/>
      <c r="AK10" s="30"/>
      <c r="AL10" s="30"/>
      <c r="AM10" s="30"/>
      <c r="AN10" s="30"/>
      <c r="AO10" s="30"/>
      <c r="AP10" s="30"/>
      <c r="AQ10" s="30"/>
      <c r="AR10" s="30"/>
      <c r="AS10" s="30"/>
      <c r="AT10" s="30"/>
      <c r="AU10" s="30"/>
      <c r="AV10" s="30"/>
      <c r="AW10" s="30"/>
      <c r="AX10" s="30"/>
      <c r="AY10" s="30"/>
      <c r="AZ10" s="30"/>
      <c r="BA10" s="30"/>
      <c r="BB10" s="30"/>
      <c r="BC10" s="30"/>
      <c r="BD10" s="30"/>
      <c r="BE10" s="30"/>
      <c r="BF10" s="30"/>
      <c r="BG10" s="30"/>
      <c r="BH10" s="30"/>
      <c r="BI10" s="30"/>
      <c r="BJ10" s="30"/>
      <c r="BK10" s="30"/>
      <c r="BL10" s="30"/>
      <c r="BM10" s="30"/>
      <c r="BN10" s="30"/>
      <c r="BO10" s="30"/>
      <c r="BP10" s="30"/>
      <c r="BQ10" s="30"/>
      <c r="BR10" s="30"/>
      <c r="BS10" s="30"/>
      <c r="BT10" s="30"/>
      <c r="BU10" s="30"/>
      <c r="BV10" s="30"/>
      <c r="BW10" s="30"/>
      <c r="BX10" s="30"/>
      <c r="BY10" s="30"/>
      <c r="BZ10" s="30"/>
      <c r="CA10" s="30"/>
      <c r="CB10" s="30"/>
      <c r="CC10" s="30"/>
      <c r="CD10" s="30"/>
      <c r="CE10" s="30"/>
      <c r="CF10" s="30"/>
      <c r="CG10" s="30"/>
      <c r="CH10" s="30"/>
      <c r="CI10" s="30"/>
      <c r="CJ10" s="30"/>
      <c r="CK10" s="30"/>
      <c r="CL10" s="30"/>
      <c r="CM10" s="30"/>
      <c r="CN10" s="30"/>
      <c r="CO10" s="30"/>
      <c r="CP10" s="30"/>
      <c r="CQ10" s="30"/>
      <c r="CR10" s="30"/>
      <c r="CS10" s="30"/>
      <c r="CT10" s="30"/>
      <c r="CU10" s="30"/>
      <c r="CV10" s="30"/>
      <c r="CW10" s="30"/>
      <c r="CX10" s="30"/>
      <c r="CY10" s="30"/>
      <c r="CZ10" s="30"/>
      <c r="DA10" s="30"/>
      <c r="DB10" s="30"/>
      <c r="DC10" s="30"/>
      <c r="DD10" s="30"/>
      <c r="DE10" s="30"/>
      <c r="DF10" s="30"/>
      <c r="DG10" s="30"/>
      <c r="DH10" s="30"/>
      <c r="DI10" s="30"/>
      <c r="DJ10" s="30"/>
    </row>
    <row r="11" spans="1:114">
      <c r="G11" s="21"/>
      <c r="H11" s="21"/>
      <c r="I11" s="21"/>
      <c r="J11" s="21" t="str">
        <f xml:space="preserve"> _xll.EPMOlapMemberO("[KEY_FIGURES].[].[EXPOSTBASEFCSTQTY]","","Ex-Post Baseline Forecast Qty","","000")</f>
        <v>Ex-Post Baseline Forecast Qty</v>
      </c>
      <c r="K11" s="30"/>
      <c r="L11" s="30"/>
      <c r="M11" s="30"/>
      <c r="N11" s="30"/>
      <c r="O11" s="30"/>
      <c r="P11" s="30"/>
      <c r="Q11" s="30"/>
      <c r="R11" s="30"/>
      <c r="S11" s="30"/>
      <c r="T11" s="30"/>
      <c r="U11" s="30"/>
      <c r="V11" s="30"/>
      <c r="W11" s="30"/>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0"/>
      <c r="CZ11" s="30"/>
      <c r="DA11" s="30"/>
      <c r="DB11" s="30"/>
      <c r="DC11" s="30"/>
      <c r="DD11" s="30"/>
      <c r="DE11" s="30"/>
      <c r="DF11" s="30"/>
      <c r="DG11" s="30"/>
      <c r="DH11" s="30"/>
      <c r="DI11" s="30"/>
      <c r="DJ11" s="30"/>
    </row>
    <row r="12" spans="1:114">
      <c r="G12" s="21"/>
      <c r="H12" s="21"/>
      <c r="I12" s="21"/>
      <c r="J12" s="21" t="str">
        <f xml:space="preserve"> _xll.EPMOlapMemberO("[KEY_FIGURES].[].[STATISTICALEXPOSTFORECASTQTY]","","Ex-Post Fcst Qty","","000")</f>
        <v>Ex-Post Fcst Qty</v>
      </c>
      <c r="K12" s="30">
        <v>682.91736100000003</v>
      </c>
      <c r="L12" s="30">
        <v>616.544128</v>
      </c>
      <c r="M12" s="30">
        <v>684.48899200000005</v>
      </c>
      <c r="N12" s="30">
        <v>711.91968399999996</v>
      </c>
      <c r="O12" s="30">
        <v>697.904898</v>
      </c>
      <c r="P12" s="30">
        <v>510.93237399999998</v>
      </c>
      <c r="Q12" s="30">
        <v>658.80365500000005</v>
      </c>
      <c r="R12" s="30">
        <v>896.42873699999996</v>
      </c>
      <c r="S12" s="30">
        <v>1051.552285</v>
      </c>
      <c r="T12" s="30">
        <v>922.51408100000003</v>
      </c>
      <c r="U12" s="30">
        <v>857.29735300000004</v>
      </c>
      <c r="V12" s="30">
        <v>813.55330700000002</v>
      </c>
      <c r="W12" s="30">
        <v>694.59995900000001</v>
      </c>
      <c r="X12" s="30">
        <v>669.83415000000002</v>
      </c>
      <c r="Y12" s="30">
        <v>689.97484799999995</v>
      </c>
      <c r="Z12" s="30">
        <v>703.53328599999998</v>
      </c>
      <c r="AA12" s="30">
        <v>707.80734700000005</v>
      </c>
      <c r="AB12" s="30">
        <v>730.43680199999994</v>
      </c>
      <c r="AC12" s="30">
        <v>662.05902900000001</v>
      </c>
      <c r="AD12" s="30">
        <v>675.99141699999996</v>
      </c>
      <c r="AE12" s="30">
        <v>817.78482799999995</v>
      </c>
      <c r="AF12" s="30">
        <v>1185.6541279999999</v>
      </c>
      <c r="AG12" s="30">
        <v>1245.2290820000001</v>
      </c>
      <c r="AH12" s="30">
        <v>1187.1813070000001</v>
      </c>
      <c r="AI12" s="30">
        <v>722.88534500000003</v>
      </c>
      <c r="AJ12" s="30">
        <v>723.92189800000006</v>
      </c>
      <c r="AK12" s="30">
        <v>681.09519799999998</v>
      </c>
      <c r="AL12" s="30">
        <v>617.20335599999999</v>
      </c>
      <c r="AM12" s="30">
        <v>701.41082100000006</v>
      </c>
      <c r="AN12" s="30">
        <v>665.66224699999998</v>
      </c>
      <c r="AO12" s="30">
        <v>987.20148600000005</v>
      </c>
      <c r="AP12" s="30">
        <v>1272.2192010000001</v>
      </c>
      <c r="AQ12" s="30">
        <v>493.36386199999998</v>
      </c>
      <c r="AR12" s="30">
        <v>325.12759399999999</v>
      </c>
      <c r="AS12" s="30">
        <v>533.439662</v>
      </c>
      <c r="AT12" s="30">
        <v>664.29287199999999</v>
      </c>
      <c r="AU12" s="30">
        <v>815.00793099999999</v>
      </c>
      <c r="AV12" s="30">
        <v>834.75660500000004</v>
      </c>
      <c r="AW12" s="30">
        <v>716.20503699999995</v>
      </c>
      <c r="AX12" s="30">
        <v>642.42900799999995</v>
      </c>
      <c r="AY12" s="30">
        <v>679.04957000000002</v>
      </c>
      <c r="AZ12" s="30">
        <v>655.45833000000005</v>
      </c>
      <c r="BA12" s="30">
        <v>674.81181700000002</v>
      </c>
      <c r="BB12" s="30">
        <v>663.10979599999996</v>
      </c>
      <c r="BC12" s="30">
        <v>637.20576900000003</v>
      </c>
      <c r="BD12" s="30">
        <v>675.18389100000002</v>
      </c>
      <c r="BE12" s="30">
        <v>565.70654000000002</v>
      </c>
      <c r="BF12" s="30">
        <v>648.98464300000001</v>
      </c>
      <c r="BG12" s="30">
        <v>895.93229699999995</v>
      </c>
      <c r="BH12" s="30">
        <v>1220.0899320000001</v>
      </c>
      <c r="BI12" s="30">
        <v>582.54770099999996</v>
      </c>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c r="CV12" s="30"/>
      <c r="CW12" s="30"/>
      <c r="CX12" s="30"/>
      <c r="CY12" s="30"/>
      <c r="CZ12" s="30"/>
      <c r="DA12" s="30"/>
      <c r="DB12" s="30"/>
      <c r="DC12" s="30"/>
      <c r="DD12" s="30"/>
      <c r="DE12" s="30"/>
      <c r="DF12" s="30"/>
      <c r="DG12" s="30"/>
      <c r="DH12" s="30"/>
      <c r="DI12" s="30"/>
      <c r="DJ12" s="30"/>
    </row>
    <row r="13" spans="1:114">
      <c r="G13" s="21"/>
      <c r="H13" s="21"/>
      <c r="I13" s="21"/>
      <c r="J13" s="21" t="str">
        <f xml:space="preserve"> _xll.EPMOlapMemberO("[KEY_FIGURES].[].[EVENTIMPACT]","","Event Impact","","000")</f>
        <v>Event Impact</v>
      </c>
      <c r="K13" s="30"/>
      <c r="L13" s="30"/>
      <c r="M13" s="30"/>
      <c r="N13" s="30"/>
      <c r="O13" s="30"/>
      <c r="P13" s="30"/>
      <c r="Q13" s="30"/>
      <c r="R13" s="30"/>
      <c r="S13" s="30"/>
      <c r="T13" s="30"/>
      <c r="U13" s="30"/>
      <c r="V13" s="30"/>
      <c r="W13" s="30"/>
      <c r="X13" s="30"/>
      <c r="Y13" s="30"/>
      <c r="Z13" s="30"/>
      <c r="AA13" s="30"/>
      <c r="AB13" s="30"/>
      <c r="AC13" s="30"/>
      <c r="AD13" s="30"/>
      <c r="AE13" s="30"/>
      <c r="AF13" s="30"/>
      <c r="AG13" s="30"/>
      <c r="AH13" s="30"/>
      <c r="AI13" s="30"/>
      <c r="AJ13" s="30"/>
      <c r="AK13" s="30"/>
      <c r="AL13" s="30"/>
      <c r="AM13" s="30"/>
      <c r="AN13" s="30"/>
      <c r="AO13" s="30"/>
      <c r="AP13" s="30"/>
      <c r="AQ13" s="30"/>
      <c r="AR13" s="30"/>
      <c r="AS13" s="30"/>
      <c r="AT13" s="30"/>
      <c r="AU13" s="30"/>
      <c r="AV13" s="30"/>
      <c r="AW13" s="30"/>
      <c r="AX13" s="30"/>
      <c r="AY13" s="30"/>
      <c r="AZ13" s="30"/>
      <c r="BA13" s="30"/>
      <c r="BB13" s="30"/>
      <c r="BC13" s="30"/>
      <c r="BD13" s="30"/>
      <c r="BE13" s="30"/>
      <c r="BF13" s="30"/>
      <c r="BG13" s="30"/>
      <c r="BH13" s="30"/>
      <c r="BI13" s="30"/>
      <c r="BJ13" s="30"/>
      <c r="BK13" s="30"/>
      <c r="BL13" s="30"/>
      <c r="BM13" s="30"/>
      <c r="BN13" s="30"/>
      <c r="BO13" s="30"/>
      <c r="BP13" s="30"/>
      <c r="BQ13" s="30"/>
      <c r="BR13" s="30"/>
      <c r="BS13" s="30"/>
      <c r="BT13" s="30"/>
      <c r="BU13" s="30"/>
      <c r="BV13" s="30"/>
      <c r="BW13" s="30"/>
      <c r="BX13" s="30"/>
      <c r="BY13" s="30"/>
      <c r="BZ13" s="30"/>
      <c r="CA13" s="30"/>
      <c r="CB13" s="30"/>
      <c r="CC13" s="30"/>
      <c r="CD13" s="30"/>
      <c r="CE13" s="30"/>
      <c r="CF13" s="30"/>
      <c r="CG13" s="30"/>
      <c r="CH13" s="30"/>
      <c r="CI13" s="30"/>
      <c r="CJ13" s="30"/>
      <c r="CK13" s="30"/>
      <c r="CL13" s="30"/>
      <c r="CM13" s="30"/>
      <c r="CN13" s="30"/>
      <c r="CO13" s="30"/>
      <c r="CP13" s="30"/>
      <c r="CQ13" s="30"/>
      <c r="CR13" s="30"/>
      <c r="CS13" s="30"/>
      <c r="CT13" s="30"/>
      <c r="CU13" s="30"/>
      <c r="CV13" s="30"/>
      <c r="CW13" s="30"/>
      <c r="CX13" s="30"/>
      <c r="CY13" s="30"/>
      <c r="CZ13" s="30"/>
      <c r="DA13" s="30"/>
      <c r="DB13" s="30"/>
      <c r="DC13" s="30"/>
      <c r="DD13" s="30"/>
      <c r="DE13" s="30"/>
      <c r="DF13" s="30"/>
      <c r="DG13" s="30"/>
      <c r="DH13" s="30"/>
      <c r="DI13" s="30"/>
      <c r="DJ13" s="30"/>
    </row>
    <row r="14" spans="1:114">
      <c r="G14" s="21"/>
      <c r="H14" s="21"/>
      <c r="I14" s="21"/>
      <c r="J14" s="21" t="str">
        <f xml:space="preserve"> _xll.EPMOlapMemberO("[KEY_FIGURES].[].[MARKETINGBUDGETIMPACT]","","Marketing Budget Impact","","000")</f>
        <v>Marketing Budget Impact</v>
      </c>
      <c r="K14" s="30"/>
      <c r="L14" s="30"/>
      <c r="M14" s="30"/>
      <c r="N14" s="30"/>
      <c r="O14" s="30"/>
      <c r="P14" s="30"/>
      <c r="Q14" s="30"/>
      <c r="R14" s="30"/>
      <c r="S14" s="30"/>
      <c r="T14" s="30"/>
      <c r="U14" s="30"/>
      <c r="V14" s="30"/>
      <c r="W14" s="30"/>
      <c r="X14" s="30"/>
      <c r="Y14" s="30"/>
      <c r="Z14" s="30"/>
      <c r="AA14" s="30"/>
      <c r="AB14" s="30"/>
      <c r="AC14" s="30"/>
      <c r="AD14" s="30"/>
      <c r="AE14" s="30"/>
      <c r="AF14" s="30"/>
      <c r="AG14" s="30"/>
      <c r="AH14" s="30"/>
      <c r="AI14" s="30"/>
      <c r="AJ14" s="30"/>
      <c r="AK14" s="30"/>
      <c r="AL14" s="30"/>
      <c r="AM14" s="30"/>
      <c r="AN14" s="30"/>
      <c r="AO14" s="30"/>
      <c r="AP14" s="30"/>
      <c r="AQ14" s="30"/>
      <c r="AR14" s="30"/>
      <c r="AS14" s="30"/>
      <c r="AT14" s="30"/>
      <c r="AU14" s="30"/>
      <c r="AV14" s="30"/>
      <c r="AW14" s="30"/>
      <c r="AX14" s="30"/>
      <c r="AY14" s="30"/>
      <c r="AZ14" s="30"/>
      <c r="BA14" s="30"/>
      <c r="BB14" s="30"/>
      <c r="BC14" s="30"/>
      <c r="BD14" s="30"/>
      <c r="BE14" s="30"/>
      <c r="BF14" s="30"/>
      <c r="BG14" s="30"/>
      <c r="BH14" s="30"/>
      <c r="BI14" s="30"/>
      <c r="BJ14" s="30"/>
      <c r="BK14" s="30"/>
      <c r="BL14" s="30"/>
      <c r="BM14" s="30"/>
      <c r="BN14" s="30"/>
      <c r="BO14" s="30"/>
      <c r="BP14" s="30"/>
      <c r="BQ14" s="30"/>
      <c r="BR14" s="30"/>
      <c r="BS14" s="30"/>
      <c r="BT14" s="30"/>
      <c r="BU14" s="30"/>
      <c r="BV14" s="30"/>
      <c r="BW14" s="30"/>
      <c r="BX14" s="30"/>
      <c r="BY14" s="30"/>
      <c r="BZ14" s="30"/>
      <c r="CA14" s="30"/>
      <c r="CB14" s="30"/>
      <c r="CC14" s="30"/>
      <c r="CD14" s="30"/>
      <c r="CE14" s="30"/>
      <c r="CF14" s="30"/>
      <c r="CG14" s="30"/>
      <c r="CH14" s="30"/>
      <c r="CI14" s="30"/>
      <c r="CJ14" s="30"/>
      <c r="CK14" s="30"/>
      <c r="CL14" s="30"/>
      <c r="CM14" s="30"/>
      <c r="CN14" s="30"/>
      <c r="CO14" s="30"/>
      <c r="CP14" s="30"/>
      <c r="CQ14" s="30"/>
      <c r="CR14" s="30"/>
      <c r="CS14" s="30"/>
      <c r="CT14" s="30"/>
      <c r="CU14" s="30"/>
      <c r="CV14" s="30"/>
      <c r="CW14" s="30"/>
      <c r="CX14" s="30"/>
      <c r="CY14" s="30"/>
      <c r="CZ14" s="30"/>
      <c r="DA14" s="30"/>
      <c r="DB14" s="30"/>
      <c r="DC14" s="30"/>
      <c r="DD14" s="30"/>
      <c r="DE14" s="30"/>
      <c r="DF14" s="30"/>
      <c r="DG14" s="30"/>
      <c r="DH14" s="30"/>
      <c r="DI14" s="30"/>
      <c r="DJ14" s="30"/>
    </row>
    <row r="15" spans="1:114">
      <c r="G15" s="21"/>
      <c r="H15" s="21"/>
      <c r="I15" s="21"/>
      <c r="J15" s="21" t="str">
        <f xml:space="preserve"> _xll.EPMOlapMemberO("[KEY_FIGURES].[].[BASEFCSTQTY]","","Baseline Forecast Qty","","000")</f>
        <v>Baseline Forecast Qty</v>
      </c>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30"/>
      <c r="BF15" s="30"/>
      <c r="BG15" s="30"/>
      <c r="BH15" s="30"/>
      <c r="BI15" s="30"/>
      <c r="BJ15" s="30"/>
      <c r="BK15" s="30"/>
      <c r="BL15" s="30"/>
      <c r="BM15" s="30"/>
      <c r="BN15" s="30"/>
      <c r="BO15" s="30"/>
      <c r="BP15" s="30"/>
      <c r="BQ15" s="30"/>
      <c r="BR15" s="30"/>
      <c r="BS15" s="30"/>
      <c r="BT15" s="30"/>
      <c r="BU15" s="30"/>
      <c r="BV15" s="30"/>
      <c r="BW15" s="30"/>
      <c r="BX15" s="30"/>
      <c r="BY15" s="30"/>
      <c r="BZ15" s="30"/>
      <c r="CA15" s="30"/>
      <c r="CB15" s="30"/>
      <c r="CC15" s="30"/>
      <c r="CD15" s="30"/>
      <c r="CE15" s="30"/>
      <c r="CF15" s="30"/>
      <c r="CG15" s="30"/>
      <c r="CH15" s="30"/>
      <c r="CI15" s="30"/>
      <c r="CJ15" s="30"/>
      <c r="CK15" s="30"/>
      <c r="CL15" s="30"/>
      <c r="CM15" s="30"/>
      <c r="CN15" s="30"/>
      <c r="CO15" s="30"/>
      <c r="CP15" s="30"/>
      <c r="CQ15" s="30"/>
      <c r="CR15" s="30"/>
      <c r="CS15" s="30"/>
      <c r="CT15" s="30"/>
      <c r="CU15" s="30"/>
      <c r="CV15" s="30"/>
      <c r="CW15" s="30"/>
      <c r="CX15" s="30"/>
      <c r="CY15" s="30"/>
      <c r="CZ15" s="30"/>
      <c r="DA15" s="30"/>
      <c r="DB15" s="30"/>
      <c r="DC15" s="30"/>
      <c r="DD15" s="30"/>
      <c r="DE15" s="30"/>
      <c r="DF15" s="30"/>
      <c r="DG15" s="30"/>
      <c r="DH15" s="30"/>
      <c r="DI15" s="30"/>
      <c r="DJ15" s="30"/>
    </row>
    <row r="16" spans="1:114">
      <c r="G16" s="21"/>
      <c r="H16" s="21"/>
      <c r="I16" s="21"/>
      <c r="J16" s="21" t="str">
        <f xml:space="preserve"> _xll.EPMOlapMemberO("[KEY_FIGURES].[].[STATISTICALFORECASTQTY]","","Statistical Fcst Qty","","000")</f>
        <v>Statistical Fcst Qty</v>
      </c>
      <c r="K16" s="30"/>
      <c r="L16" s="30"/>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v>469.35298599999999</v>
      </c>
      <c r="BK16" s="30">
        <v>489.74474700000002</v>
      </c>
      <c r="BL16" s="30">
        <v>649.48268900000005</v>
      </c>
      <c r="BM16" s="30">
        <v>635.04387499999996</v>
      </c>
      <c r="BN16" s="30">
        <v>639.00314200000003</v>
      </c>
      <c r="BO16" s="30">
        <v>667.53213300000004</v>
      </c>
      <c r="BP16" s="30">
        <v>595.45224700000006</v>
      </c>
      <c r="BQ16" s="30">
        <v>594.62329099999999</v>
      </c>
      <c r="BR16" s="30">
        <v>627.26156600000002</v>
      </c>
      <c r="BS16" s="30">
        <v>1265.3118669999999</v>
      </c>
      <c r="BT16" s="30">
        <v>766.12865599999998</v>
      </c>
      <c r="BU16" s="30">
        <v>787.38971100000003</v>
      </c>
      <c r="BV16" s="30">
        <v>750.68257400000005</v>
      </c>
      <c r="BW16" s="30">
        <v>659.53023700000006</v>
      </c>
      <c r="BX16" s="30">
        <v>708.73980400000005</v>
      </c>
      <c r="BY16" s="30">
        <v>709.59671900000001</v>
      </c>
      <c r="BZ16" s="30">
        <v>634.59356600000001</v>
      </c>
      <c r="CA16" s="30">
        <v>684.26325399999996</v>
      </c>
      <c r="CB16" s="30">
        <v>669.96334300000001</v>
      </c>
      <c r="CC16" s="30">
        <v>687.55055700000003</v>
      </c>
      <c r="CD16" s="30">
        <v>725.61092199999996</v>
      </c>
      <c r="CE16" s="30">
        <v>669.31573000000003</v>
      </c>
      <c r="CF16" s="30">
        <v>844.42392600000005</v>
      </c>
      <c r="CG16" s="30">
        <v>833.47673499999996</v>
      </c>
      <c r="CH16" s="30">
        <v>833.80130899999995</v>
      </c>
      <c r="CI16" s="30">
        <v>759.75316999999995</v>
      </c>
      <c r="CJ16" s="30">
        <v>656.30893300000002</v>
      </c>
      <c r="CK16" s="30">
        <v>688.49425900000006</v>
      </c>
      <c r="CL16" s="30">
        <v>630.52829199999996</v>
      </c>
      <c r="CM16" s="30">
        <v>640.57620499999996</v>
      </c>
      <c r="CN16" s="30">
        <v>597.45917199999997</v>
      </c>
      <c r="CO16" s="30">
        <v>789.49682800000005</v>
      </c>
      <c r="CP16" s="30">
        <v>829.57630099999994</v>
      </c>
      <c r="CQ16" s="30">
        <v>706.304755</v>
      </c>
      <c r="CR16" s="30">
        <v>528.92442600000004</v>
      </c>
      <c r="CS16" s="30">
        <v>545.77324699999997</v>
      </c>
      <c r="CT16" s="30">
        <v>535.07826699999998</v>
      </c>
      <c r="CU16" s="30">
        <v>653.04386499999998</v>
      </c>
      <c r="CV16" s="30">
        <v>662.90444400000001</v>
      </c>
      <c r="CW16" s="30">
        <v>684.73906699999998</v>
      </c>
      <c r="CX16" s="30">
        <v>673.31604300000004</v>
      </c>
      <c r="CY16" s="30">
        <v>635.10864000000004</v>
      </c>
      <c r="CZ16" s="30">
        <v>599.17706099999998</v>
      </c>
      <c r="DA16" s="30">
        <v>675.18020100000001</v>
      </c>
      <c r="DB16" s="30">
        <v>645.31183299999998</v>
      </c>
      <c r="DC16" s="30">
        <v>634.387565</v>
      </c>
      <c r="DD16" s="30">
        <v>650.61259299999995</v>
      </c>
      <c r="DE16" s="30">
        <v>619.33197600000005</v>
      </c>
      <c r="DF16" s="30">
        <v>589.88072299999999</v>
      </c>
      <c r="DG16" s="30">
        <v>564.64104499999996</v>
      </c>
      <c r="DH16" s="30">
        <v>885.89570500000002</v>
      </c>
      <c r="DI16" s="30">
        <v>864.422192</v>
      </c>
      <c r="DJ16" s="30"/>
    </row>
    <row r="17" spans="7:114">
      <c r="G17" s="21"/>
      <c r="H17" s="21"/>
      <c r="I17" s="21"/>
      <c r="J17" s="21"/>
      <c r="K17" s="30"/>
      <c r="L17" s="30"/>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c r="DA17" s="30"/>
      <c r="DB17" s="30"/>
      <c r="DC17" s="30"/>
      <c r="DD17" s="30"/>
      <c r="DE17" s="30"/>
      <c r="DF17" s="30"/>
      <c r="DG17" s="30"/>
      <c r="DH17" s="30"/>
      <c r="DI17" s="30"/>
      <c r="DJ17" s="30"/>
    </row>
    <row r="18" spans="7:114">
      <c r="G18" s="42"/>
      <c r="H18" s="42"/>
      <c r="I18" s="42"/>
      <c r="J18" s="42"/>
      <c r="K18" s="62"/>
      <c r="L18" s="62"/>
      <c r="M18" s="62"/>
      <c r="N18" s="62"/>
      <c r="O18" s="62"/>
      <c r="P18" s="62"/>
      <c r="Q18" s="62"/>
      <c r="R18" s="62"/>
      <c r="S18" s="62"/>
      <c r="T18" s="62"/>
      <c r="U18" s="62"/>
      <c r="V18" s="62"/>
      <c r="W18" s="62"/>
      <c r="X18" s="62"/>
      <c r="Y18" s="62"/>
      <c r="Z18" s="62"/>
      <c r="AA18" s="62"/>
      <c r="AB18" s="62"/>
      <c r="AC18" s="62"/>
      <c r="AD18" s="62"/>
      <c r="AE18" s="62"/>
      <c r="AF18" s="62"/>
      <c r="AG18" s="62"/>
      <c r="AH18" s="62"/>
      <c r="AI18" s="62"/>
      <c r="AJ18" s="62"/>
      <c r="AK18" s="62"/>
      <c r="AL18" s="62"/>
      <c r="AM18" s="62"/>
      <c r="AN18" s="62"/>
      <c r="AO18" s="62"/>
      <c r="AP18" s="62"/>
      <c r="AQ18" s="62"/>
      <c r="AR18" s="62"/>
      <c r="AS18" s="62"/>
      <c r="AT18" s="62"/>
      <c r="AU18" s="62"/>
      <c r="AV18" s="62"/>
      <c r="AW18" s="62"/>
      <c r="AX18" s="62"/>
      <c r="AY18" s="62"/>
      <c r="AZ18" s="62"/>
      <c r="BA18" s="62"/>
      <c r="BB18" s="62"/>
      <c r="BC18" s="62"/>
      <c r="BD18" s="62"/>
      <c r="BE18" s="62"/>
      <c r="BF18" s="62"/>
      <c r="BG18" s="62"/>
      <c r="BH18" s="62"/>
      <c r="BI18" s="62"/>
      <c r="BJ18" s="62"/>
      <c r="BK18" s="62"/>
      <c r="BL18" s="62"/>
      <c r="BM18" s="62"/>
      <c r="BN18" s="62"/>
      <c r="BO18" s="62"/>
      <c r="BP18" s="62"/>
      <c r="BQ18" s="62"/>
      <c r="BR18" s="62"/>
      <c r="BS18" s="62"/>
      <c r="BT18" s="62"/>
      <c r="BU18" s="62"/>
      <c r="BV18" s="62"/>
      <c r="BW18" s="62"/>
      <c r="BX18" s="62"/>
      <c r="BY18" s="62"/>
      <c r="BZ18" s="62"/>
      <c r="CA18" s="62"/>
      <c r="CB18" s="62"/>
      <c r="CC18" s="62"/>
      <c r="CD18" s="62"/>
      <c r="CE18" s="62"/>
      <c r="CF18" s="62"/>
      <c r="CG18" s="62"/>
      <c r="CH18" s="62"/>
      <c r="CI18" s="62"/>
      <c r="CJ18" s="62"/>
      <c r="CK18" s="62"/>
      <c r="CL18" s="62"/>
      <c r="CM18" s="62"/>
      <c r="CN18" s="62"/>
      <c r="CO18" s="62"/>
      <c r="CP18" s="62"/>
      <c r="CQ18" s="62"/>
      <c r="CR18" s="62"/>
      <c r="CS18" s="62"/>
      <c r="CT18" s="62"/>
      <c r="CU18" s="62"/>
      <c r="CV18" s="62"/>
      <c r="CW18" s="62"/>
      <c r="CX18" s="62"/>
      <c r="CY18" s="62"/>
      <c r="CZ18" s="62"/>
      <c r="DA18" s="62"/>
      <c r="DB18" s="62"/>
      <c r="DC18" s="62"/>
      <c r="DD18" s="62"/>
      <c r="DE18" s="62"/>
      <c r="DF18" s="62"/>
      <c r="DG18" s="62"/>
      <c r="DH18" s="62"/>
      <c r="DI18" s="62"/>
      <c r="DJ18" s="62"/>
    </row>
    <row r="19" spans="7:114">
      <c r="G19" s="21"/>
      <c r="H19" s="21"/>
      <c r="I19" s="21"/>
      <c r="J19" s="21"/>
      <c r="K19" s="30"/>
      <c r="L19" s="30"/>
      <c r="M19" s="30"/>
      <c r="N19" s="30"/>
      <c r="O19" s="30"/>
      <c r="P19" s="30"/>
      <c r="Q19" s="30"/>
      <c r="R19" s="30"/>
      <c r="S19" s="30"/>
      <c r="T19" s="30"/>
      <c r="U19" s="30"/>
      <c r="V19" s="30"/>
      <c r="W19" s="30"/>
      <c r="X19" s="30"/>
      <c r="Y19" s="30"/>
      <c r="Z19" s="30"/>
      <c r="AA19" s="30"/>
      <c r="AB19" s="30"/>
      <c r="AC19" s="30"/>
      <c r="AD19" s="30"/>
      <c r="AE19" s="30"/>
      <c r="AF19" s="30"/>
      <c r="AG19" s="30"/>
      <c r="AH19" s="30"/>
      <c r="AI19" s="30"/>
      <c r="AJ19" s="30"/>
      <c r="AK19" s="30"/>
      <c r="AL19" s="30"/>
      <c r="AM19" s="30"/>
      <c r="AN19" s="30"/>
      <c r="AO19" s="30"/>
      <c r="AP19" s="30"/>
      <c r="AQ19" s="30"/>
      <c r="AR19" s="30"/>
      <c r="AS19" s="30"/>
      <c r="AT19" s="30"/>
      <c r="AU19" s="30"/>
      <c r="AV19" s="30"/>
      <c r="AW19" s="30"/>
      <c r="AX19" s="30"/>
      <c r="AY19" s="30"/>
      <c r="AZ19" s="30"/>
      <c r="BA19" s="30"/>
      <c r="BB19" s="30"/>
      <c r="BC19" s="30"/>
      <c r="BD19" s="30"/>
      <c r="BE19" s="30"/>
      <c r="BF19" s="30"/>
      <c r="BG19" s="30"/>
      <c r="BH19" s="30"/>
      <c r="BI19" s="30"/>
      <c r="BJ19" s="30"/>
      <c r="BK19" s="30"/>
      <c r="BL19" s="30"/>
      <c r="BM19" s="30"/>
      <c r="BN19" s="30"/>
      <c r="BO19" s="30"/>
      <c r="BP19" s="30"/>
      <c r="BQ19" s="30"/>
      <c r="BR19" s="30"/>
      <c r="BS19" s="30"/>
      <c r="BT19" s="30"/>
      <c r="BU19" s="30"/>
      <c r="BV19" s="30"/>
      <c r="BW19" s="30"/>
      <c r="BX19" s="30"/>
      <c r="BY19" s="30"/>
      <c r="BZ19" s="30"/>
      <c r="CA19" s="30"/>
      <c r="CB19" s="30"/>
      <c r="CC19" s="30"/>
      <c r="CD19" s="30"/>
      <c r="CE19" s="30"/>
      <c r="CF19" s="30"/>
      <c r="CG19" s="30"/>
      <c r="CH19" s="30"/>
      <c r="CI19" s="30"/>
      <c r="CJ19" s="30"/>
      <c r="CK19" s="30"/>
      <c r="CL19" s="30"/>
      <c r="CM19" s="30"/>
      <c r="CN19" s="30"/>
      <c r="CO19" s="30"/>
      <c r="CP19" s="30"/>
      <c r="CQ19" s="30"/>
      <c r="CR19" s="30"/>
      <c r="CS19" s="30"/>
      <c r="CT19" s="30"/>
      <c r="CU19" s="30"/>
      <c r="CV19" s="30"/>
      <c r="CW19" s="30"/>
      <c r="CX19" s="30"/>
      <c r="CY19" s="30"/>
      <c r="CZ19" s="30"/>
      <c r="DA19" s="30"/>
      <c r="DB19" s="30"/>
      <c r="DC19" s="30"/>
      <c r="DD19" s="30"/>
      <c r="DE19" s="30"/>
      <c r="DF19" s="30"/>
      <c r="DG19" s="30"/>
      <c r="DH19" s="30"/>
      <c r="DI19" s="30"/>
      <c r="DJ19" s="30"/>
    </row>
    <row r="20" spans="7:114">
      <c r="G20" s="21"/>
      <c r="H20" s="21"/>
      <c r="I20" s="21"/>
      <c r="J20" s="21"/>
      <c r="K20" s="30"/>
      <c r="L20" s="30"/>
      <c r="M20" s="30"/>
      <c r="N20" s="30"/>
      <c r="O20" s="30"/>
      <c r="P20" s="30"/>
      <c r="Q20" s="30"/>
      <c r="R20" s="30"/>
      <c r="S20" s="30"/>
      <c r="T20" s="30"/>
      <c r="U20" s="30"/>
      <c r="V20" s="30"/>
      <c r="W20" s="30"/>
      <c r="X20" s="30"/>
      <c r="Y20" s="30"/>
      <c r="Z20" s="30"/>
      <c r="AA20" s="30"/>
      <c r="AB20" s="30"/>
      <c r="AC20" s="30"/>
      <c r="AD20" s="30"/>
      <c r="AE20" s="30"/>
      <c r="AF20" s="30"/>
      <c r="AG20" s="30"/>
      <c r="AH20" s="30"/>
      <c r="AI20" s="30"/>
      <c r="AJ20" s="30"/>
      <c r="AK20" s="30"/>
      <c r="AL20" s="30"/>
      <c r="AM20" s="30"/>
      <c r="AN20" s="30"/>
      <c r="AO20" s="30"/>
      <c r="AP20" s="30"/>
      <c r="AQ20" s="30"/>
      <c r="AR20" s="30"/>
      <c r="AS20" s="30"/>
      <c r="AT20" s="30"/>
      <c r="AU20" s="30"/>
      <c r="AV20" s="30"/>
      <c r="AW20" s="30"/>
      <c r="AX20" s="30"/>
      <c r="AY20" s="30"/>
      <c r="AZ20" s="30"/>
      <c r="BA20" s="30"/>
      <c r="BB20" s="30"/>
      <c r="BC20" s="30"/>
      <c r="BD20" s="30"/>
      <c r="BE20" s="30"/>
      <c r="BF20" s="30"/>
      <c r="BG20" s="30"/>
      <c r="BH20" s="30"/>
      <c r="BI20" s="30"/>
      <c r="BJ20" s="30"/>
      <c r="BK20" s="30"/>
      <c r="BL20" s="30"/>
      <c r="BM20" s="30"/>
      <c r="BN20" s="30"/>
      <c r="BO20" s="30"/>
      <c r="BP20" s="30"/>
      <c r="BQ20" s="30"/>
      <c r="BR20" s="30"/>
      <c r="BS20" s="30"/>
      <c r="BT20" s="30"/>
      <c r="BU20" s="30"/>
      <c r="BV20" s="30"/>
      <c r="BW20" s="30"/>
      <c r="BX20" s="30"/>
      <c r="BY20" s="30"/>
      <c r="BZ20" s="30"/>
      <c r="CA20" s="30"/>
      <c r="CB20" s="30"/>
      <c r="CC20" s="30"/>
      <c r="CD20" s="30"/>
      <c r="CE20" s="30"/>
      <c r="CF20" s="30"/>
      <c r="CG20" s="30"/>
      <c r="CH20" s="30"/>
      <c r="CI20" s="30"/>
      <c r="CJ20" s="30"/>
      <c r="CK20" s="30"/>
      <c r="CL20" s="30"/>
      <c r="CM20" s="30"/>
      <c r="CN20" s="30"/>
      <c r="CO20" s="30"/>
      <c r="CP20" s="30"/>
      <c r="CQ20" s="30"/>
      <c r="CR20" s="30"/>
      <c r="CS20" s="30"/>
      <c r="CT20" s="30"/>
      <c r="CU20" s="30"/>
      <c r="CV20" s="30"/>
      <c r="CW20" s="30"/>
      <c r="CX20" s="30"/>
      <c r="CY20" s="30"/>
      <c r="CZ20" s="30"/>
      <c r="DA20" s="30"/>
      <c r="DB20" s="30"/>
      <c r="DC20" s="30"/>
      <c r="DD20" s="30"/>
      <c r="DE20" s="30"/>
      <c r="DF20" s="30"/>
      <c r="DG20" s="30"/>
      <c r="DH20" s="30"/>
      <c r="DI20" s="30"/>
      <c r="DJ20" s="30"/>
    </row>
    <row r="21" spans="7:114">
      <c r="G21" s="21"/>
      <c r="H21" s="21"/>
      <c r="I21" s="21"/>
      <c r="J21" s="21"/>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c r="DA21" s="30"/>
      <c r="DB21" s="30"/>
      <c r="DC21" s="30"/>
      <c r="DD21" s="30"/>
      <c r="DE21" s="30"/>
      <c r="DF21" s="30"/>
      <c r="DG21" s="30"/>
      <c r="DH21" s="30"/>
      <c r="DI21" s="30"/>
      <c r="DJ21" s="30"/>
    </row>
    <row r="22" spans="7:114">
      <c r="G22" s="42"/>
      <c r="H22" s="42"/>
      <c r="I22" s="42"/>
      <c r="J22" s="42"/>
      <c r="K22" s="62"/>
      <c r="L22" s="62"/>
      <c r="M22" s="62"/>
      <c r="N22" s="62"/>
      <c r="O22" s="62"/>
      <c r="P22" s="62"/>
      <c r="Q22" s="62"/>
      <c r="R22" s="62"/>
      <c r="S22" s="62"/>
      <c r="T22" s="62"/>
      <c r="U22" s="62"/>
      <c r="V22" s="62"/>
      <c r="W22" s="62"/>
      <c r="X22" s="62"/>
      <c r="Y22" s="62"/>
      <c r="Z22" s="62"/>
      <c r="AA22" s="62"/>
      <c r="AB22" s="62"/>
      <c r="AC22" s="62"/>
      <c r="AD22" s="62"/>
      <c r="AE22" s="62"/>
      <c r="AF22" s="62"/>
      <c r="AG22" s="62"/>
      <c r="AH22" s="62"/>
      <c r="AI22" s="62"/>
      <c r="AJ22" s="62"/>
      <c r="AK22" s="62"/>
      <c r="AL22" s="62"/>
      <c r="AM22" s="62"/>
      <c r="AN22" s="62"/>
      <c r="AO22" s="62"/>
      <c r="AP22" s="62"/>
      <c r="AQ22" s="62"/>
      <c r="AR22" s="62"/>
      <c r="AS22" s="62"/>
      <c r="AT22" s="62"/>
      <c r="AU22" s="62"/>
      <c r="AV22" s="62"/>
      <c r="AW22" s="62"/>
      <c r="AX22" s="62"/>
      <c r="AY22" s="62"/>
      <c r="AZ22" s="62"/>
      <c r="BA22" s="62"/>
      <c r="BB22" s="62"/>
      <c r="BC22" s="62"/>
      <c r="BD22" s="62"/>
      <c r="BE22" s="62"/>
      <c r="BF22" s="62"/>
      <c r="BG22" s="62"/>
      <c r="BH22" s="62"/>
      <c r="BI22" s="62"/>
      <c r="BJ22" s="62"/>
      <c r="BK22" s="62"/>
      <c r="BL22" s="62"/>
      <c r="BM22" s="62"/>
      <c r="BN22" s="62"/>
      <c r="BO22" s="62"/>
      <c r="BP22" s="62"/>
      <c r="BQ22" s="62"/>
      <c r="BR22" s="62"/>
      <c r="BS22" s="62"/>
      <c r="BT22" s="62"/>
      <c r="BU22" s="62"/>
      <c r="BV22" s="62"/>
      <c r="BW22" s="62"/>
      <c r="BX22" s="62"/>
      <c r="BY22" s="62"/>
      <c r="BZ22" s="62"/>
      <c r="CA22" s="62"/>
      <c r="CB22" s="62"/>
      <c r="CC22" s="62"/>
      <c r="CD22" s="62"/>
      <c r="CE22" s="62"/>
      <c r="CF22" s="62"/>
      <c r="CG22" s="62"/>
      <c r="CH22" s="62"/>
      <c r="CI22" s="62"/>
      <c r="CJ22" s="62"/>
      <c r="CK22" s="62"/>
      <c r="CL22" s="62"/>
      <c r="CM22" s="62"/>
      <c r="CN22" s="62"/>
      <c r="CO22" s="62"/>
      <c r="CP22" s="62"/>
      <c r="CQ22" s="62"/>
      <c r="CR22" s="62"/>
      <c r="CS22" s="62"/>
      <c r="CT22" s="62"/>
      <c r="CU22" s="62"/>
      <c r="CV22" s="62"/>
      <c r="CW22" s="62"/>
      <c r="CX22" s="62"/>
      <c r="CY22" s="62"/>
      <c r="CZ22" s="62"/>
      <c r="DA22" s="62"/>
      <c r="DB22" s="62"/>
      <c r="DC22" s="62"/>
      <c r="DD22" s="62"/>
      <c r="DE22" s="62"/>
      <c r="DF22" s="62"/>
      <c r="DG22" s="62"/>
      <c r="DH22" s="62"/>
      <c r="DI22" s="62"/>
      <c r="DJ22" s="62"/>
    </row>
    <row r="23" spans="7:114">
      <c r="G23" s="21"/>
      <c r="H23" s="21"/>
      <c r="I23" s="21"/>
      <c r="J23" s="21"/>
      <c r="K23" s="30"/>
      <c r="L23" s="30"/>
      <c r="M23" s="30"/>
      <c r="N23" s="30"/>
      <c r="O23" s="30"/>
      <c r="P23" s="30"/>
      <c r="Q23" s="30"/>
      <c r="R23" s="30"/>
      <c r="S23" s="30"/>
      <c r="T23" s="30"/>
      <c r="U23" s="30"/>
      <c r="V23" s="30"/>
      <c r="W23" s="30"/>
      <c r="X23" s="30"/>
      <c r="Y23" s="30"/>
      <c r="Z23" s="30"/>
      <c r="AA23" s="30"/>
      <c r="AB23" s="30"/>
      <c r="AC23" s="30"/>
      <c r="AD23" s="30"/>
      <c r="AE23" s="30"/>
      <c r="AF23" s="30"/>
      <c r="AG23" s="30"/>
      <c r="AH23" s="30"/>
      <c r="AI23" s="30"/>
      <c r="AJ23" s="30"/>
      <c r="AK23" s="30"/>
      <c r="AL23" s="30"/>
      <c r="AM23" s="30"/>
      <c r="AN23" s="30"/>
      <c r="AO23" s="30"/>
      <c r="AP23" s="30"/>
      <c r="AQ23" s="30"/>
      <c r="AR23" s="30"/>
      <c r="AS23" s="30"/>
      <c r="AT23" s="30"/>
      <c r="AU23" s="30"/>
      <c r="AV23" s="30"/>
      <c r="AW23" s="30"/>
      <c r="AX23" s="30"/>
      <c r="AY23" s="30"/>
      <c r="AZ23" s="30"/>
      <c r="BA23" s="30"/>
      <c r="BB23" s="30"/>
      <c r="BC23" s="30"/>
      <c r="BD23" s="30"/>
      <c r="BE23" s="30"/>
      <c r="BF23" s="30"/>
      <c r="BG23" s="30"/>
      <c r="BH23" s="30"/>
      <c r="BI23" s="30"/>
      <c r="BJ23" s="30"/>
      <c r="BK23" s="30"/>
      <c r="BL23" s="30"/>
      <c r="BM23" s="30"/>
      <c r="BN23" s="30"/>
      <c r="BO23" s="30"/>
      <c r="BP23" s="30"/>
      <c r="BQ23" s="30"/>
      <c r="BR23" s="30"/>
      <c r="BS23" s="30"/>
      <c r="BT23" s="30"/>
      <c r="BU23" s="30"/>
      <c r="BV23" s="30"/>
      <c r="BW23" s="30"/>
      <c r="BX23" s="30"/>
      <c r="BY23" s="30"/>
      <c r="BZ23" s="30"/>
      <c r="CA23" s="30"/>
      <c r="CB23" s="30"/>
      <c r="CC23" s="30"/>
      <c r="CD23" s="30"/>
      <c r="CE23" s="30"/>
      <c r="CF23" s="30"/>
      <c r="CG23" s="30"/>
      <c r="CH23" s="30"/>
      <c r="CI23" s="30"/>
      <c r="CJ23" s="30"/>
      <c r="CK23" s="30"/>
      <c r="CL23" s="30"/>
      <c r="CM23" s="30"/>
      <c r="CN23" s="30"/>
      <c r="CO23" s="30"/>
      <c r="CP23" s="30"/>
      <c r="CQ23" s="30"/>
      <c r="CR23" s="30"/>
      <c r="CS23" s="30"/>
      <c r="CT23" s="30"/>
      <c r="CU23" s="30"/>
      <c r="CV23" s="30"/>
      <c r="CW23" s="30"/>
      <c r="CX23" s="30"/>
      <c r="CY23" s="30"/>
      <c r="CZ23" s="30"/>
      <c r="DA23" s="30"/>
      <c r="DB23" s="30"/>
      <c r="DC23" s="30"/>
      <c r="DD23" s="30"/>
      <c r="DE23" s="30"/>
      <c r="DF23" s="30"/>
      <c r="DG23" s="30"/>
      <c r="DH23" s="30"/>
      <c r="DI23" s="30"/>
      <c r="DJ23" s="30"/>
    </row>
    <row r="24" spans="7:114">
      <c r="G24" s="21"/>
      <c r="H24" s="21"/>
      <c r="I24" s="21"/>
      <c r="J24" s="21"/>
      <c r="K24" s="30"/>
      <c r="L24" s="30"/>
      <c r="M24" s="30"/>
      <c r="N24" s="30"/>
      <c r="O24" s="30"/>
      <c r="P24" s="30"/>
      <c r="Q24" s="30"/>
      <c r="R24" s="30"/>
      <c r="S24" s="30"/>
      <c r="T24" s="30"/>
      <c r="U24" s="30"/>
      <c r="V24" s="30"/>
      <c r="W24" s="30"/>
      <c r="X24" s="30"/>
      <c r="Y24" s="30"/>
      <c r="Z24" s="30"/>
      <c r="AA24" s="30"/>
      <c r="AB24" s="30"/>
      <c r="AC24" s="30"/>
      <c r="AD24" s="30"/>
      <c r="AE24" s="30"/>
      <c r="AF24" s="30"/>
      <c r="AG24" s="30"/>
      <c r="AH24" s="30"/>
      <c r="AI24" s="30"/>
      <c r="AJ24" s="30"/>
      <c r="AK24" s="30"/>
      <c r="AL24" s="30"/>
      <c r="AM24" s="30"/>
      <c r="AN24" s="30"/>
      <c r="AO24" s="30"/>
      <c r="AP24" s="30"/>
      <c r="AQ24" s="30"/>
      <c r="AR24" s="30"/>
      <c r="AS24" s="30"/>
      <c r="AT24" s="30"/>
      <c r="AU24" s="30"/>
      <c r="AV24" s="30"/>
      <c r="AW24" s="30"/>
      <c r="AX24" s="30"/>
      <c r="AY24" s="30"/>
      <c r="AZ24" s="30"/>
      <c r="BA24" s="30"/>
      <c r="BB24" s="30"/>
      <c r="BC24" s="30"/>
      <c r="BD24" s="30"/>
      <c r="BE24" s="30"/>
      <c r="BF24" s="30"/>
      <c r="BG24" s="30"/>
      <c r="BH24" s="30"/>
      <c r="BI24" s="30"/>
      <c r="BJ24" s="30"/>
      <c r="BK24" s="30"/>
      <c r="BL24" s="30"/>
      <c r="BM24" s="30"/>
      <c r="BN24" s="30"/>
      <c r="BO24" s="30"/>
      <c r="BP24" s="30"/>
      <c r="BQ24" s="30"/>
      <c r="BR24" s="30"/>
      <c r="BS24" s="30"/>
      <c r="BT24" s="30"/>
      <c r="BU24" s="30"/>
      <c r="BV24" s="30"/>
      <c r="BW24" s="30"/>
      <c r="BX24" s="30"/>
      <c r="BY24" s="30"/>
      <c r="BZ24" s="30"/>
      <c r="CA24" s="30"/>
      <c r="CB24" s="30"/>
      <c r="CC24" s="30"/>
      <c r="CD24" s="30"/>
      <c r="CE24" s="30"/>
      <c r="CF24" s="30"/>
      <c r="CG24" s="30"/>
      <c r="CH24" s="30"/>
      <c r="CI24" s="30"/>
      <c r="CJ24" s="30"/>
      <c r="CK24" s="30"/>
      <c r="CL24" s="30"/>
      <c r="CM24" s="30"/>
      <c r="CN24" s="30"/>
      <c r="CO24" s="30"/>
      <c r="CP24" s="30"/>
      <c r="CQ24" s="30"/>
      <c r="CR24" s="30"/>
      <c r="CS24" s="30"/>
      <c r="CT24" s="30"/>
      <c r="CU24" s="30"/>
      <c r="CV24" s="30"/>
      <c r="CW24" s="30"/>
      <c r="CX24" s="30"/>
      <c r="CY24" s="30"/>
      <c r="CZ24" s="30"/>
      <c r="DA24" s="30"/>
      <c r="DB24" s="30"/>
      <c r="DC24" s="30"/>
      <c r="DD24" s="30"/>
      <c r="DE24" s="30"/>
      <c r="DF24" s="30"/>
      <c r="DG24" s="30"/>
      <c r="DH24" s="30"/>
      <c r="DI24" s="30"/>
      <c r="DJ24" s="30"/>
    </row>
    <row r="25" spans="7:114">
      <c r="G25" s="21"/>
      <c r="H25" s="21"/>
      <c r="I25" s="21"/>
      <c r="J25" s="21"/>
      <c r="K25" s="30"/>
      <c r="L25" s="30"/>
      <c r="M25" s="30"/>
      <c r="N25" s="30"/>
      <c r="O25" s="30"/>
      <c r="P25" s="30"/>
      <c r="Q25" s="30"/>
      <c r="R25" s="30"/>
      <c r="S25" s="30"/>
      <c r="T25" s="30"/>
      <c r="U25" s="30"/>
      <c r="V25" s="30"/>
      <c r="W25" s="30"/>
      <c r="X25" s="30"/>
      <c r="Y25" s="30"/>
      <c r="Z25" s="30"/>
      <c r="AA25" s="30"/>
      <c r="AB25" s="30"/>
      <c r="AC25" s="30"/>
      <c r="AD25" s="30"/>
      <c r="AE25" s="30"/>
      <c r="AF25" s="30"/>
      <c r="AG25" s="30"/>
      <c r="AH25" s="30"/>
      <c r="AI25" s="30"/>
      <c r="AJ25" s="30"/>
      <c r="AK25" s="30"/>
      <c r="AL25" s="30"/>
      <c r="AM25" s="30"/>
      <c r="AN25" s="30"/>
      <c r="AO25" s="30"/>
      <c r="AP25" s="30"/>
      <c r="AQ25" s="30"/>
      <c r="AR25" s="30"/>
      <c r="AS25" s="30"/>
      <c r="AT25" s="30"/>
      <c r="AU25" s="30"/>
      <c r="AV25" s="30"/>
      <c r="AW25" s="30"/>
      <c r="AX25" s="30"/>
      <c r="AY25" s="30"/>
      <c r="AZ25" s="30"/>
      <c r="BA25" s="30"/>
      <c r="BB25" s="30"/>
      <c r="BC25" s="30"/>
      <c r="BD25" s="30"/>
      <c r="BE25" s="30"/>
      <c r="BF25" s="30"/>
      <c r="BG25" s="30"/>
      <c r="BH25" s="30"/>
      <c r="BI25" s="30"/>
      <c r="BJ25" s="30"/>
      <c r="BK25" s="30"/>
      <c r="BL25" s="30"/>
      <c r="BM25" s="30"/>
      <c r="BN25" s="30"/>
      <c r="BO25" s="30"/>
      <c r="BP25" s="30"/>
      <c r="BQ25" s="30"/>
      <c r="BR25" s="30"/>
      <c r="BS25" s="30"/>
      <c r="BT25" s="30"/>
      <c r="BU25" s="30"/>
      <c r="BV25" s="30"/>
      <c r="BW25" s="30"/>
      <c r="BX25" s="30"/>
      <c r="BY25" s="30"/>
      <c r="BZ25" s="30"/>
      <c r="CA25" s="30"/>
      <c r="CB25" s="30"/>
      <c r="CC25" s="30"/>
      <c r="CD25" s="30"/>
      <c r="CE25" s="30"/>
      <c r="CF25" s="30"/>
      <c r="CG25" s="30"/>
      <c r="CH25" s="30"/>
      <c r="CI25" s="30"/>
      <c r="CJ25" s="30"/>
      <c r="CK25" s="30"/>
      <c r="CL25" s="30"/>
      <c r="CM25" s="30"/>
      <c r="CN25" s="30"/>
      <c r="CO25" s="30"/>
      <c r="CP25" s="30"/>
      <c r="CQ25" s="30"/>
      <c r="CR25" s="30"/>
      <c r="CS25" s="30"/>
      <c r="CT25" s="30"/>
      <c r="CU25" s="30"/>
      <c r="CV25" s="30"/>
      <c r="CW25" s="30"/>
      <c r="CX25" s="30"/>
      <c r="CY25" s="30"/>
      <c r="CZ25" s="30"/>
      <c r="DA25" s="30"/>
      <c r="DB25" s="30"/>
      <c r="DC25" s="30"/>
      <c r="DD25" s="30"/>
      <c r="DE25" s="30"/>
      <c r="DF25" s="30"/>
      <c r="DG25" s="30"/>
      <c r="DH25" s="30"/>
      <c r="DI25" s="30"/>
      <c r="DJ25" s="30"/>
    </row>
    <row r="26" spans="7:114">
      <c r="G26" s="42"/>
      <c r="H26" s="42"/>
      <c r="I26" s="42"/>
      <c r="J26" s="42"/>
      <c r="K26" s="62"/>
      <c r="L26" s="62"/>
      <c r="M26" s="62"/>
      <c r="N26" s="62"/>
      <c r="O26" s="62"/>
      <c r="P26" s="62"/>
      <c r="Q26" s="62"/>
      <c r="R26" s="62"/>
      <c r="S26" s="62"/>
      <c r="T26" s="62"/>
      <c r="U26" s="62"/>
      <c r="V26" s="62"/>
      <c r="W26" s="62"/>
      <c r="X26" s="62"/>
      <c r="Y26" s="62"/>
      <c r="Z26" s="62"/>
      <c r="AA26" s="62"/>
      <c r="AB26" s="62"/>
      <c r="AC26" s="62"/>
      <c r="AD26" s="62"/>
      <c r="AE26" s="62"/>
      <c r="AF26" s="62"/>
      <c r="AG26" s="62"/>
      <c r="AH26" s="62"/>
      <c r="AI26" s="62"/>
      <c r="AJ26" s="62"/>
      <c r="AK26" s="62"/>
      <c r="AL26" s="62"/>
      <c r="AM26" s="62"/>
      <c r="AN26" s="62"/>
      <c r="AO26" s="62"/>
      <c r="AP26" s="62"/>
      <c r="AQ26" s="62"/>
      <c r="AR26" s="62"/>
      <c r="AS26" s="62"/>
      <c r="AT26" s="62"/>
      <c r="AU26" s="62"/>
      <c r="AV26" s="62"/>
      <c r="AW26" s="62"/>
      <c r="AX26" s="62"/>
      <c r="AY26" s="62"/>
      <c r="AZ26" s="62"/>
      <c r="BA26" s="62"/>
      <c r="BB26" s="62"/>
      <c r="BC26" s="62"/>
      <c r="BD26" s="62"/>
      <c r="BE26" s="62"/>
      <c r="BF26" s="62"/>
      <c r="BG26" s="62"/>
      <c r="BH26" s="62"/>
      <c r="BI26" s="62"/>
      <c r="BJ26" s="62"/>
      <c r="BK26" s="62"/>
      <c r="BL26" s="62"/>
      <c r="BM26" s="62"/>
      <c r="BN26" s="62"/>
      <c r="BO26" s="62"/>
      <c r="BP26" s="62"/>
      <c r="BQ26" s="62"/>
      <c r="BR26" s="62"/>
      <c r="BS26" s="62"/>
      <c r="BT26" s="62"/>
      <c r="BU26" s="62"/>
      <c r="BV26" s="62"/>
      <c r="BW26" s="62"/>
      <c r="BX26" s="62"/>
      <c r="BY26" s="62"/>
      <c r="BZ26" s="62"/>
      <c r="CA26" s="62"/>
      <c r="CB26" s="62"/>
      <c r="CC26" s="62"/>
      <c r="CD26" s="62"/>
      <c r="CE26" s="62"/>
      <c r="CF26" s="62"/>
      <c r="CG26" s="62"/>
      <c r="CH26" s="62"/>
      <c r="CI26" s="62"/>
      <c r="CJ26" s="62"/>
      <c r="CK26" s="62"/>
      <c r="CL26" s="62"/>
      <c r="CM26" s="62"/>
      <c r="CN26" s="62"/>
      <c r="CO26" s="62"/>
      <c r="CP26" s="62"/>
      <c r="CQ26" s="62"/>
      <c r="CR26" s="62"/>
      <c r="CS26" s="62"/>
      <c r="CT26" s="62"/>
      <c r="CU26" s="62"/>
      <c r="CV26" s="62"/>
      <c r="CW26" s="62"/>
      <c r="CX26" s="62"/>
      <c r="CY26" s="62"/>
      <c r="CZ26" s="62"/>
      <c r="DA26" s="62"/>
      <c r="DB26" s="62"/>
      <c r="DC26" s="62"/>
      <c r="DD26" s="62"/>
      <c r="DE26" s="62"/>
      <c r="DF26" s="62"/>
      <c r="DG26" s="62"/>
      <c r="DH26" s="62"/>
      <c r="DI26" s="62"/>
      <c r="DJ26" s="62"/>
    </row>
    <row r="27" spans="7:114">
      <c r="G27" s="21"/>
      <c r="H27" s="21"/>
      <c r="I27" s="21"/>
      <c r="J27" s="21"/>
      <c r="K27" s="30"/>
      <c r="L27" s="30"/>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row>
    <row r="28" spans="7:114">
      <c r="G28" s="21"/>
      <c r="H28" s="21"/>
      <c r="I28" s="21"/>
      <c r="J28" s="21"/>
      <c r="K28" s="30"/>
      <c r="L28" s="30"/>
      <c r="M28" s="30"/>
      <c r="N28" s="30"/>
      <c r="O28" s="30"/>
      <c r="P28" s="30"/>
      <c r="Q28" s="30"/>
      <c r="R28" s="30"/>
      <c r="S28" s="30"/>
      <c r="T28" s="30"/>
      <c r="U28" s="30"/>
      <c r="V28" s="30"/>
      <c r="W28" s="30"/>
      <c r="X28" s="30"/>
      <c r="Y28" s="30"/>
      <c r="Z28" s="30"/>
      <c r="AA28" s="30"/>
      <c r="AB28" s="30"/>
      <c r="AC28" s="30"/>
      <c r="AD28" s="30"/>
      <c r="AE28" s="30"/>
      <c r="AF28" s="30"/>
      <c r="AG28" s="30"/>
      <c r="AH28" s="30"/>
      <c r="AI28" s="30"/>
      <c r="AJ28" s="30"/>
      <c r="AK28" s="30"/>
      <c r="AL28" s="30"/>
      <c r="AM28" s="30"/>
      <c r="AN28" s="30"/>
      <c r="AO28" s="30"/>
      <c r="AP28" s="30"/>
      <c r="AQ28" s="30"/>
      <c r="AR28" s="30"/>
      <c r="AS28" s="30"/>
      <c r="AT28" s="30"/>
      <c r="AU28" s="30"/>
      <c r="AV28" s="30"/>
      <c r="AW28" s="30"/>
      <c r="AX28" s="30"/>
      <c r="AY28" s="30"/>
      <c r="AZ28" s="30"/>
      <c r="BA28" s="30"/>
      <c r="BB28" s="30"/>
      <c r="BC28" s="30"/>
      <c r="BD28" s="30"/>
      <c r="BE28" s="30"/>
      <c r="BF28" s="30"/>
      <c r="BG28" s="30"/>
      <c r="BH28" s="30"/>
      <c r="BI28" s="30"/>
      <c r="BJ28" s="30"/>
      <c r="BK28" s="30"/>
      <c r="BL28" s="30"/>
      <c r="BM28" s="30"/>
      <c r="BN28" s="30"/>
      <c r="BO28" s="30"/>
      <c r="BP28" s="30"/>
      <c r="BQ28" s="30"/>
      <c r="BR28" s="30"/>
      <c r="BS28" s="30"/>
      <c r="BT28" s="30"/>
      <c r="BU28" s="30"/>
      <c r="BV28" s="30"/>
      <c r="BW28" s="30"/>
      <c r="BX28" s="30"/>
      <c r="BY28" s="30"/>
      <c r="BZ28" s="30"/>
      <c r="CA28" s="30"/>
      <c r="CB28" s="30"/>
      <c r="CC28" s="30"/>
      <c r="CD28" s="30"/>
      <c r="CE28" s="30"/>
      <c r="CF28" s="30"/>
      <c r="CG28" s="30"/>
      <c r="CH28" s="30"/>
      <c r="CI28" s="30"/>
      <c r="CJ28" s="30"/>
      <c r="CK28" s="30"/>
      <c r="CL28" s="30"/>
      <c r="CM28" s="30"/>
      <c r="CN28" s="30"/>
      <c r="CO28" s="30"/>
      <c r="CP28" s="30"/>
      <c r="CQ28" s="30"/>
      <c r="CR28" s="30"/>
      <c r="CS28" s="30"/>
      <c r="CT28" s="30"/>
      <c r="CU28" s="30"/>
      <c r="CV28" s="30"/>
      <c r="CW28" s="30"/>
      <c r="CX28" s="30"/>
      <c r="CY28" s="30"/>
      <c r="CZ28" s="30"/>
      <c r="DA28" s="30"/>
      <c r="DB28" s="30"/>
      <c r="DC28" s="30"/>
      <c r="DD28" s="30"/>
      <c r="DE28" s="30"/>
      <c r="DF28" s="30"/>
      <c r="DG28" s="30"/>
      <c r="DH28" s="30"/>
      <c r="DI28" s="30"/>
      <c r="DJ28" s="30"/>
    </row>
    <row r="29" spans="7:114">
      <c r="G29" s="21"/>
      <c r="H29" s="21"/>
      <c r="I29" s="21"/>
      <c r="J29" s="21"/>
      <c r="K29" s="30"/>
      <c r="L29" s="30"/>
      <c r="M29" s="30"/>
      <c r="N29" s="30"/>
      <c r="O29" s="30"/>
      <c r="P29" s="30"/>
      <c r="Q29" s="30"/>
      <c r="R29" s="30"/>
      <c r="S29" s="30"/>
      <c r="T29" s="30"/>
      <c r="U29" s="30"/>
      <c r="V29" s="30"/>
      <c r="W29" s="30"/>
      <c r="X29" s="30"/>
      <c r="Y29" s="30"/>
      <c r="Z29" s="30"/>
      <c r="AA29" s="30"/>
      <c r="AB29" s="30"/>
      <c r="AC29" s="30"/>
      <c r="AD29" s="30"/>
      <c r="AE29" s="30"/>
      <c r="AF29" s="30"/>
      <c r="AG29" s="30"/>
      <c r="AH29" s="30"/>
      <c r="AI29" s="30"/>
      <c r="AJ29" s="30"/>
      <c r="AK29" s="30"/>
      <c r="AL29" s="30"/>
      <c r="AM29" s="30"/>
      <c r="AN29" s="30"/>
      <c r="AO29" s="30"/>
      <c r="AP29" s="30"/>
      <c r="AQ29" s="30"/>
      <c r="AR29" s="30"/>
      <c r="AS29" s="30"/>
      <c r="AT29" s="30"/>
      <c r="AU29" s="30"/>
      <c r="AV29" s="30"/>
      <c r="AW29" s="30"/>
      <c r="AX29" s="30"/>
      <c r="AY29" s="30"/>
      <c r="AZ29" s="30"/>
      <c r="BA29" s="30"/>
      <c r="BB29" s="30"/>
      <c r="BC29" s="30"/>
      <c r="BD29" s="30"/>
      <c r="BE29" s="30"/>
      <c r="BF29" s="30"/>
      <c r="BG29" s="30"/>
      <c r="BH29" s="30"/>
      <c r="BI29" s="30"/>
      <c r="BJ29" s="30"/>
      <c r="BK29" s="30"/>
      <c r="BL29" s="30"/>
      <c r="BM29" s="30"/>
      <c r="BN29" s="30"/>
      <c r="BO29" s="30"/>
      <c r="BP29" s="30"/>
      <c r="BQ29" s="30"/>
      <c r="BR29" s="30"/>
      <c r="BS29" s="30"/>
      <c r="BT29" s="30"/>
      <c r="BU29" s="30"/>
      <c r="BV29" s="30"/>
      <c r="BW29" s="30"/>
      <c r="BX29" s="30"/>
      <c r="BY29" s="30"/>
      <c r="BZ29" s="30"/>
      <c r="CA29" s="30"/>
      <c r="CB29" s="30"/>
      <c r="CC29" s="30"/>
      <c r="CD29" s="30"/>
      <c r="CE29" s="30"/>
      <c r="CF29" s="30"/>
      <c r="CG29" s="30"/>
      <c r="CH29" s="30"/>
      <c r="CI29" s="30"/>
      <c r="CJ29" s="30"/>
      <c r="CK29" s="30"/>
      <c r="CL29" s="30"/>
      <c r="CM29" s="30"/>
      <c r="CN29" s="30"/>
      <c r="CO29" s="30"/>
      <c r="CP29" s="30"/>
      <c r="CQ29" s="30"/>
      <c r="CR29" s="30"/>
      <c r="CS29" s="30"/>
      <c r="CT29" s="30"/>
      <c r="CU29" s="30"/>
      <c r="CV29" s="30"/>
      <c r="CW29" s="30"/>
      <c r="CX29" s="30"/>
      <c r="CY29" s="30"/>
      <c r="CZ29" s="30"/>
      <c r="DA29" s="30"/>
      <c r="DB29" s="30"/>
      <c r="DC29" s="30"/>
      <c r="DD29" s="30"/>
      <c r="DE29" s="30"/>
      <c r="DF29" s="30"/>
      <c r="DG29" s="30"/>
      <c r="DH29" s="30"/>
      <c r="DI29" s="30"/>
      <c r="DJ29" s="30"/>
    </row>
    <row r="30" spans="7:114">
      <c r="G30" s="42"/>
      <c r="H30" s="42"/>
      <c r="I30" s="42"/>
      <c r="J30" s="42"/>
      <c r="K30" s="62"/>
      <c r="L30" s="62"/>
      <c r="M30" s="62"/>
      <c r="N30" s="62"/>
      <c r="O30" s="62"/>
      <c r="P30" s="62"/>
      <c r="Q30" s="62"/>
      <c r="R30" s="62"/>
      <c r="S30" s="62"/>
      <c r="T30" s="62"/>
      <c r="U30" s="62"/>
      <c r="V30" s="62"/>
      <c r="W30" s="62"/>
      <c r="X30" s="62"/>
      <c r="Y30" s="62"/>
      <c r="Z30" s="62"/>
      <c r="AA30" s="62"/>
      <c r="AB30" s="62"/>
      <c r="AC30" s="62"/>
      <c r="AD30" s="62"/>
      <c r="AE30" s="62"/>
      <c r="AF30" s="62"/>
      <c r="AG30" s="62"/>
      <c r="AH30" s="62"/>
      <c r="AI30" s="62"/>
      <c r="AJ30" s="62"/>
      <c r="AK30" s="62"/>
      <c r="AL30" s="62"/>
      <c r="AM30" s="62"/>
      <c r="AN30" s="62"/>
      <c r="AO30" s="62"/>
      <c r="AP30" s="62"/>
      <c r="AQ30" s="62"/>
      <c r="AR30" s="62"/>
      <c r="AS30" s="62"/>
      <c r="AT30" s="62"/>
      <c r="AU30" s="62"/>
      <c r="AV30" s="62"/>
      <c r="AW30" s="62"/>
      <c r="AX30" s="62"/>
      <c r="AY30" s="62"/>
      <c r="AZ30" s="62"/>
      <c r="BA30" s="62"/>
      <c r="BB30" s="62"/>
      <c r="BC30" s="62"/>
      <c r="BD30" s="62"/>
      <c r="BE30" s="62"/>
      <c r="BF30" s="62"/>
      <c r="BG30" s="62"/>
      <c r="BH30" s="62"/>
      <c r="BI30" s="62"/>
      <c r="BJ30" s="62"/>
      <c r="BK30" s="62"/>
      <c r="BL30" s="62"/>
      <c r="BM30" s="62"/>
      <c r="BN30" s="62"/>
      <c r="BO30" s="62"/>
      <c r="BP30" s="62"/>
      <c r="BQ30" s="62"/>
      <c r="BR30" s="62"/>
      <c r="BS30" s="62"/>
      <c r="BT30" s="62"/>
      <c r="BU30" s="62"/>
      <c r="BV30" s="62"/>
      <c r="BW30" s="62"/>
      <c r="BX30" s="62"/>
      <c r="BY30" s="62"/>
      <c r="BZ30" s="62"/>
      <c r="CA30" s="62"/>
      <c r="CB30" s="62"/>
      <c r="CC30" s="62"/>
      <c r="CD30" s="62"/>
      <c r="CE30" s="62"/>
      <c r="CF30" s="62"/>
      <c r="CG30" s="62"/>
      <c r="CH30" s="62"/>
      <c r="CI30" s="62"/>
      <c r="CJ30" s="62"/>
      <c r="CK30" s="62"/>
      <c r="CL30" s="62"/>
      <c r="CM30" s="62"/>
      <c r="CN30" s="62"/>
      <c r="CO30" s="62"/>
      <c r="CP30" s="62"/>
      <c r="CQ30" s="62"/>
      <c r="CR30" s="62"/>
      <c r="CS30" s="62"/>
      <c r="CT30" s="62"/>
      <c r="CU30" s="62"/>
      <c r="CV30" s="62"/>
      <c r="CW30" s="62"/>
      <c r="CX30" s="62"/>
      <c r="CY30" s="62"/>
      <c r="CZ30" s="62"/>
      <c r="DA30" s="62"/>
      <c r="DB30" s="62"/>
      <c r="DC30" s="62"/>
      <c r="DD30" s="62"/>
      <c r="DE30" s="62"/>
      <c r="DF30" s="62"/>
      <c r="DG30" s="62"/>
      <c r="DH30" s="62"/>
      <c r="DI30" s="62"/>
      <c r="DJ30" s="62"/>
    </row>
    <row r="31" spans="7:114">
      <c r="G31" s="21"/>
      <c r="H31" s="21"/>
      <c r="I31" s="21"/>
      <c r="J31" s="21"/>
      <c r="K31" s="30"/>
      <c r="L31" s="30"/>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c r="DA31" s="30"/>
      <c r="DB31" s="30"/>
      <c r="DC31" s="30"/>
      <c r="DD31" s="30"/>
      <c r="DE31" s="30"/>
      <c r="DF31" s="30"/>
      <c r="DG31" s="30"/>
      <c r="DH31" s="30"/>
      <c r="DI31" s="30"/>
      <c r="DJ31" s="30"/>
    </row>
    <row r="32" spans="7:114">
      <c r="G32" s="21"/>
      <c r="H32" s="21"/>
      <c r="I32" s="21"/>
      <c r="J32" s="21"/>
      <c r="K32" s="30"/>
      <c r="L32" s="30"/>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row>
    <row r="33" spans="7:114">
      <c r="G33" s="21"/>
      <c r="H33" s="21"/>
      <c r="I33" s="21"/>
      <c r="J33" s="21"/>
      <c r="K33" s="30"/>
      <c r="L33" s="30"/>
      <c r="M33" s="30"/>
      <c r="N33" s="30"/>
      <c r="O33" s="30"/>
      <c r="P33" s="30"/>
      <c r="Q33" s="30"/>
      <c r="R33" s="30"/>
      <c r="S33" s="30"/>
      <c r="T33" s="30"/>
      <c r="U33" s="30"/>
      <c r="V33" s="30"/>
      <c r="W33" s="30"/>
      <c r="X33" s="30"/>
      <c r="Y33" s="30"/>
      <c r="Z33" s="30"/>
      <c r="AA33" s="30"/>
      <c r="AB33" s="30"/>
      <c r="AC33" s="30"/>
      <c r="AD33" s="30"/>
      <c r="AE33" s="30"/>
      <c r="AF33" s="30"/>
      <c r="AG33" s="30"/>
      <c r="AH33" s="30"/>
      <c r="AI33" s="30"/>
      <c r="AJ33" s="30"/>
      <c r="AK33" s="30"/>
      <c r="AL33" s="30"/>
      <c r="AM33" s="30"/>
      <c r="AN33" s="30"/>
      <c r="AO33" s="30"/>
      <c r="AP33" s="30"/>
      <c r="AQ33" s="30"/>
      <c r="AR33" s="30"/>
      <c r="AS33" s="30"/>
      <c r="AT33" s="30"/>
      <c r="AU33" s="30"/>
      <c r="AV33" s="30"/>
      <c r="AW33" s="30"/>
      <c r="AX33" s="30"/>
      <c r="AY33" s="30"/>
      <c r="AZ33" s="30"/>
      <c r="BA33" s="30"/>
      <c r="BB33" s="30"/>
      <c r="BC33" s="30"/>
      <c r="BD33" s="30"/>
      <c r="BE33" s="30"/>
      <c r="BF33" s="30"/>
      <c r="BG33" s="30"/>
      <c r="BH33" s="30"/>
      <c r="BI33" s="30"/>
      <c r="BJ33" s="30"/>
      <c r="BK33" s="30"/>
      <c r="BL33" s="30"/>
      <c r="BM33" s="30"/>
      <c r="BN33" s="30"/>
      <c r="BO33" s="30"/>
      <c r="BP33" s="30"/>
      <c r="BQ33" s="30"/>
      <c r="BR33" s="30"/>
      <c r="BS33" s="30"/>
      <c r="BT33" s="30"/>
      <c r="BU33" s="30"/>
      <c r="BV33" s="30"/>
      <c r="BW33" s="30"/>
      <c r="BX33" s="30"/>
      <c r="BY33" s="30"/>
      <c r="BZ33" s="30"/>
      <c r="CA33" s="30"/>
      <c r="CB33" s="30"/>
      <c r="CC33" s="30"/>
      <c r="CD33" s="30"/>
      <c r="CE33" s="30"/>
      <c r="CF33" s="30"/>
      <c r="CG33" s="30"/>
      <c r="CH33" s="30"/>
      <c r="CI33" s="30"/>
      <c r="CJ33" s="30"/>
      <c r="CK33" s="30"/>
      <c r="CL33" s="30"/>
      <c r="CM33" s="30"/>
      <c r="CN33" s="30"/>
      <c r="CO33" s="30"/>
      <c r="CP33" s="30"/>
      <c r="CQ33" s="30"/>
      <c r="CR33" s="30"/>
      <c r="CS33" s="30"/>
      <c r="CT33" s="30"/>
      <c r="CU33" s="30"/>
      <c r="CV33" s="30"/>
      <c r="CW33" s="30"/>
      <c r="CX33" s="30"/>
      <c r="CY33" s="30"/>
      <c r="CZ33" s="30"/>
      <c r="DA33" s="30"/>
      <c r="DB33" s="30"/>
      <c r="DC33" s="30"/>
      <c r="DD33" s="30"/>
      <c r="DE33" s="30"/>
      <c r="DF33" s="30"/>
      <c r="DG33" s="30"/>
      <c r="DH33" s="30"/>
      <c r="DI33" s="30"/>
      <c r="DJ33" s="30"/>
    </row>
    <row r="34" spans="7:114">
      <c r="G34" s="42"/>
      <c r="H34" s="42"/>
      <c r="I34" s="42"/>
      <c r="J34" s="4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c r="BM34" s="62"/>
      <c r="BN34" s="62"/>
      <c r="BO34" s="62"/>
      <c r="BP34" s="62"/>
      <c r="BQ34" s="62"/>
      <c r="BR34" s="62"/>
      <c r="BS34" s="62"/>
      <c r="BT34" s="62"/>
      <c r="BU34" s="62"/>
      <c r="BV34" s="62"/>
      <c r="BW34" s="62"/>
      <c r="BX34" s="62"/>
      <c r="BY34" s="62"/>
      <c r="BZ34" s="62"/>
      <c r="CA34" s="62"/>
      <c r="CB34" s="62"/>
      <c r="CC34" s="62"/>
      <c r="CD34" s="62"/>
      <c r="CE34" s="62"/>
      <c r="CF34" s="62"/>
      <c r="CG34" s="62"/>
      <c r="CH34" s="62"/>
      <c r="CI34" s="62"/>
      <c r="CJ34" s="62"/>
      <c r="CK34" s="62"/>
      <c r="CL34" s="62"/>
      <c r="CM34" s="62"/>
      <c r="CN34" s="62"/>
      <c r="CO34" s="62"/>
      <c r="CP34" s="62"/>
      <c r="CQ34" s="62"/>
      <c r="CR34" s="62"/>
      <c r="CS34" s="62"/>
      <c r="CT34" s="62"/>
      <c r="CU34" s="62"/>
      <c r="CV34" s="62"/>
      <c r="CW34" s="62"/>
      <c r="CX34" s="62"/>
      <c r="CY34" s="62"/>
      <c r="CZ34" s="62"/>
      <c r="DA34" s="62"/>
      <c r="DB34" s="62"/>
      <c r="DC34" s="62"/>
      <c r="DD34" s="62"/>
      <c r="DE34" s="62"/>
      <c r="DF34" s="62"/>
      <c r="DG34" s="62"/>
      <c r="DH34" s="62"/>
      <c r="DI34" s="62"/>
      <c r="DJ34" s="62"/>
    </row>
    <row r="35" spans="7:114">
      <c r="G35" s="21"/>
      <c r="H35" s="21"/>
      <c r="I35" s="21"/>
      <c r="J35" s="21"/>
      <c r="K35" s="30"/>
      <c r="L35" s="30"/>
      <c r="M35" s="30"/>
      <c r="N35" s="30"/>
      <c r="O35" s="30"/>
      <c r="P35" s="30"/>
      <c r="Q35" s="30"/>
      <c r="R35" s="30"/>
      <c r="S35" s="30"/>
      <c r="T35" s="30"/>
      <c r="U35" s="30"/>
      <c r="V35" s="30"/>
      <c r="W35" s="30"/>
      <c r="X35" s="30"/>
      <c r="Y35" s="30"/>
      <c r="Z35" s="30"/>
      <c r="AA35" s="30"/>
      <c r="AB35" s="30"/>
      <c r="AC35" s="30"/>
      <c r="AD35" s="30"/>
      <c r="AE35" s="30"/>
      <c r="AF35" s="30"/>
      <c r="AG35" s="30"/>
      <c r="AH35" s="30"/>
      <c r="AI35" s="30"/>
      <c r="AJ35" s="30"/>
      <c r="AK35" s="30"/>
      <c r="AL35" s="30"/>
      <c r="AM35" s="30"/>
      <c r="AN35" s="30"/>
      <c r="AO35" s="30"/>
      <c r="AP35" s="30"/>
      <c r="AQ35" s="30"/>
      <c r="AR35" s="30"/>
      <c r="AS35" s="30"/>
      <c r="AT35" s="30"/>
      <c r="AU35" s="30"/>
      <c r="AV35" s="30"/>
      <c r="AW35" s="30"/>
      <c r="AX35" s="30"/>
      <c r="AY35" s="30"/>
      <c r="AZ35" s="30"/>
      <c r="BA35" s="30"/>
      <c r="BB35" s="30"/>
      <c r="BC35" s="30"/>
      <c r="BD35" s="30"/>
      <c r="BE35" s="30"/>
      <c r="BF35" s="30"/>
      <c r="BG35" s="30"/>
      <c r="BH35" s="30"/>
      <c r="BI35" s="30"/>
      <c r="BJ35" s="30"/>
      <c r="BK35" s="30"/>
      <c r="BL35" s="30"/>
      <c r="BM35" s="30"/>
      <c r="BN35" s="30"/>
      <c r="BO35" s="30"/>
      <c r="BP35" s="30"/>
      <c r="BQ35" s="30"/>
      <c r="BR35" s="30"/>
      <c r="BS35" s="30"/>
      <c r="BT35" s="30"/>
      <c r="BU35" s="30"/>
      <c r="BV35" s="30"/>
      <c r="BW35" s="30"/>
      <c r="BX35" s="30"/>
      <c r="BY35" s="30"/>
      <c r="BZ35" s="30"/>
      <c r="CA35" s="30"/>
      <c r="CB35" s="30"/>
      <c r="CC35" s="30"/>
      <c r="CD35" s="30"/>
      <c r="CE35" s="30"/>
      <c r="CF35" s="30"/>
      <c r="CG35" s="30"/>
      <c r="CH35" s="30"/>
      <c r="CI35" s="30"/>
      <c r="CJ35" s="30"/>
      <c r="CK35" s="30"/>
      <c r="CL35" s="30"/>
      <c r="CM35" s="30"/>
      <c r="CN35" s="30"/>
      <c r="CO35" s="30"/>
      <c r="CP35" s="30"/>
      <c r="CQ35" s="30"/>
      <c r="CR35" s="30"/>
      <c r="CS35" s="30"/>
      <c r="CT35" s="30"/>
      <c r="CU35" s="30"/>
      <c r="CV35" s="30"/>
      <c r="CW35" s="30"/>
      <c r="CX35" s="30"/>
      <c r="CY35" s="30"/>
      <c r="CZ35" s="30"/>
      <c r="DA35" s="30"/>
      <c r="DB35" s="30"/>
      <c r="DC35" s="30"/>
      <c r="DD35" s="30"/>
      <c r="DE35" s="30"/>
      <c r="DF35" s="30"/>
      <c r="DG35" s="30"/>
      <c r="DH35" s="30"/>
      <c r="DI35" s="30"/>
      <c r="DJ35" s="30"/>
    </row>
    <row r="36" spans="7:114">
      <c r="G36" s="21"/>
      <c r="H36" s="21"/>
      <c r="I36" s="21"/>
      <c r="J36" s="21"/>
      <c r="K36" s="30"/>
      <c r="L36" s="30"/>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row>
    <row r="37" spans="7:114">
      <c r="G37" s="21"/>
      <c r="H37" s="21"/>
      <c r="I37" s="21"/>
      <c r="J37" s="21"/>
      <c r="K37" s="30"/>
      <c r="L37" s="30"/>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row>
    <row r="38" spans="7:114">
      <c r="G38" s="42"/>
      <c r="H38" s="42"/>
      <c r="I38" s="42"/>
      <c r="J38" s="42"/>
      <c r="K38" s="62"/>
      <c r="L38" s="62"/>
      <c r="M38" s="62"/>
      <c r="N38" s="62"/>
      <c r="O38" s="62"/>
      <c r="P38" s="62"/>
      <c r="Q38" s="62"/>
      <c r="R38" s="62"/>
      <c r="S38" s="62"/>
      <c r="T38" s="62"/>
      <c r="U38" s="62"/>
      <c r="V38" s="62"/>
      <c r="W38" s="62"/>
      <c r="X38" s="62"/>
      <c r="Y38" s="62"/>
      <c r="Z38" s="62"/>
      <c r="AA38" s="62"/>
      <c r="AB38" s="62"/>
      <c r="AC38" s="62"/>
      <c r="AD38" s="62"/>
      <c r="AE38" s="62"/>
      <c r="AF38" s="62"/>
      <c r="AG38" s="62"/>
      <c r="AH38" s="62"/>
      <c r="AI38" s="62"/>
      <c r="AJ38" s="62"/>
      <c r="AK38" s="62"/>
      <c r="AL38" s="62"/>
      <c r="AM38" s="62"/>
      <c r="AN38" s="62"/>
      <c r="AO38" s="62"/>
      <c r="AP38" s="62"/>
      <c r="AQ38" s="62"/>
      <c r="AR38" s="62"/>
      <c r="AS38" s="62"/>
      <c r="AT38" s="62"/>
      <c r="AU38" s="62"/>
      <c r="AV38" s="62"/>
      <c r="AW38" s="62"/>
      <c r="AX38" s="62"/>
      <c r="AY38" s="62"/>
      <c r="AZ38" s="62"/>
      <c r="BA38" s="62"/>
      <c r="BB38" s="62"/>
      <c r="BC38" s="62"/>
      <c r="BD38" s="62"/>
      <c r="BE38" s="62"/>
      <c r="BF38" s="62"/>
      <c r="BG38" s="62"/>
      <c r="BH38" s="62"/>
      <c r="BI38" s="62"/>
      <c r="BJ38" s="62"/>
      <c r="BK38" s="62"/>
      <c r="BL38" s="62"/>
      <c r="BM38" s="62"/>
      <c r="BN38" s="62"/>
      <c r="BO38" s="62"/>
      <c r="BP38" s="62"/>
      <c r="BQ38" s="62"/>
      <c r="BR38" s="62"/>
      <c r="BS38" s="62"/>
      <c r="BT38" s="62"/>
      <c r="BU38" s="62"/>
      <c r="BV38" s="62"/>
      <c r="BW38" s="62"/>
      <c r="BX38" s="62"/>
      <c r="BY38" s="62"/>
      <c r="BZ38" s="62"/>
      <c r="CA38" s="62"/>
      <c r="CB38" s="62"/>
      <c r="CC38" s="62"/>
      <c r="CD38" s="62"/>
      <c r="CE38" s="62"/>
      <c r="CF38" s="62"/>
      <c r="CG38" s="62"/>
      <c r="CH38" s="62"/>
      <c r="CI38" s="62"/>
      <c r="CJ38" s="62"/>
      <c r="CK38" s="62"/>
      <c r="CL38" s="62"/>
      <c r="CM38" s="62"/>
      <c r="CN38" s="62"/>
      <c r="CO38" s="62"/>
      <c r="CP38" s="62"/>
      <c r="CQ38" s="62"/>
      <c r="CR38" s="62"/>
      <c r="CS38" s="62"/>
      <c r="CT38" s="62"/>
      <c r="CU38" s="62"/>
      <c r="CV38" s="62"/>
      <c r="CW38" s="62"/>
      <c r="CX38" s="62"/>
      <c r="CY38" s="62"/>
      <c r="CZ38" s="62"/>
      <c r="DA38" s="62"/>
      <c r="DB38" s="62"/>
      <c r="DC38" s="62"/>
      <c r="DD38" s="62"/>
      <c r="DE38" s="62"/>
      <c r="DF38" s="62"/>
      <c r="DG38" s="62"/>
      <c r="DH38" s="62"/>
      <c r="DI38" s="62"/>
      <c r="DJ38" s="62"/>
    </row>
    <row r="39" spans="7:114">
      <c r="G39" s="21"/>
      <c r="H39" s="21"/>
      <c r="I39" s="21"/>
      <c r="J39" s="21"/>
      <c r="K39" s="30"/>
      <c r="L39" s="30"/>
      <c r="M39" s="30"/>
      <c r="N39" s="30"/>
      <c r="O39" s="30"/>
      <c r="P39" s="30"/>
      <c r="Q39" s="30"/>
      <c r="R39" s="30"/>
      <c r="S39" s="30"/>
      <c r="T39" s="30"/>
      <c r="U39" s="30"/>
      <c r="V39" s="30"/>
      <c r="W39" s="30"/>
      <c r="X39" s="30"/>
      <c r="Y39" s="30"/>
      <c r="Z39" s="30"/>
      <c r="AA39" s="30"/>
      <c r="AB39" s="30"/>
      <c r="AC39" s="30"/>
      <c r="AD39" s="30"/>
      <c r="AE39" s="30"/>
      <c r="AF39" s="30"/>
      <c r="AG39" s="30"/>
      <c r="AH39" s="30"/>
      <c r="AI39" s="30"/>
      <c r="AJ39" s="30"/>
      <c r="AK39" s="30"/>
      <c r="AL39" s="30"/>
      <c r="AM39" s="30"/>
      <c r="AN39" s="30"/>
      <c r="AO39" s="30"/>
      <c r="AP39" s="30"/>
      <c r="AQ39" s="30"/>
      <c r="AR39" s="30"/>
      <c r="AS39" s="30"/>
      <c r="AT39" s="30"/>
      <c r="AU39" s="30"/>
      <c r="AV39" s="30"/>
      <c r="AW39" s="30"/>
      <c r="AX39" s="30"/>
      <c r="AY39" s="30"/>
      <c r="AZ39" s="30"/>
      <c r="BA39" s="30"/>
      <c r="BB39" s="30"/>
      <c r="BC39" s="30"/>
      <c r="BD39" s="30"/>
      <c r="BE39" s="30"/>
      <c r="BF39" s="30"/>
      <c r="BG39" s="30"/>
      <c r="BH39" s="30"/>
      <c r="BI39" s="30"/>
      <c r="BJ39" s="30"/>
      <c r="BK39" s="30"/>
      <c r="BL39" s="30"/>
      <c r="BM39" s="30"/>
      <c r="BN39" s="30"/>
      <c r="BO39" s="30"/>
      <c r="BP39" s="30"/>
      <c r="BQ39" s="30"/>
      <c r="BR39" s="30"/>
      <c r="BS39" s="30"/>
      <c r="BT39" s="30"/>
      <c r="BU39" s="30"/>
      <c r="BV39" s="30"/>
      <c r="BW39" s="30"/>
      <c r="BX39" s="30"/>
      <c r="BY39" s="30"/>
      <c r="BZ39" s="30"/>
      <c r="CA39" s="30"/>
      <c r="CB39" s="30"/>
      <c r="CC39" s="30"/>
      <c r="CD39" s="30"/>
      <c r="CE39" s="30"/>
      <c r="CF39" s="30"/>
      <c r="CG39" s="30"/>
      <c r="CH39" s="30"/>
      <c r="CI39" s="30"/>
      <c r="CJ39" s="30"/>
      <c r="CK39" s="30"/>
      <c r="CL39" s="30"/>
      <c r="CM39" s="30"/>
      <c r="CN39" s="30"/>
      <c r="CO39" s="30"/>
      <c r="CP39" s="30"/>
      <c r="CQ39" s="30"/>
      <c r="CR39" s="30"/>
      <c r="CS39" s="30"/>
      <c r="CT39" s="30"/>
      <c r="CU39" s="30"/>
      <c r="CV39" s="30"/>
      <c r="CW39" s="30"/>
      <c r="CX39" s="30"/>
      <c r="CY39" s="30"/>
      <c r="CZ39" s="30"/>
      <c r="DA39" s="30"/>
      <c r="DB39" s="30"/>
      <c r="DC39" s="30"/>
      <c r="DD39" s="30"/>
      <c r="DE39" s="30"/>
      <c r="DF39" s="30"/>
      <c r="DG39" s="30"/>
      <c r="DH39" s="30"/>
      <c r="DI39" s="30"/>
      <c r="DJ39" s="30"/>
    </row>
    <row r="40" spans="7:114">
      <c r="G40" s="21"/>
      <c r="H40" s="21"/>
      <c r="I40" s="21"/>
      <c r="J40" s="21"/>
      <c r="K40" s="30"/>
      <c r="L40" s="30"/>
      <c r="M40" s="30"/>
      <c r="N40" s="30"/>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row>
    <row r="41" spans="7:114">
      <c r="G41" s="21"/>
      <c r="H41" s="21"/>
      <c r="I41" s="21"/>
      <c r="J41" s="21"/>
      <c r="K41" s="30"/>
      <c r="L41" s="30"/>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row>
    <row r="42" spans="7:114">
      <c r="G42" s="42"/>
      <c r="H42" s="42"/>
      <c r="I42" s="42"/>
      <c r="J42" s="42"/>
      <c r="K42" s="62"/>
      <c r="L42" s="62"/>
      <c r="M42" s="62"/>
      <c r="N42" s="62"/>
      <c r="O42" s="62"/>
      <c r="P42" s="62"/>
      <c r="Q42" s="62"/>
      <c r="R42" s="62"/>
      <c r="S42" s="62"/>
      <c r="T42" s="62"/>
      <c r="U42" s="62"/>
      <c r="V42" s="62"/>
      <c r="W42" s="62"/>
      <c r="X42" s="62"/>
      <c r="Y42" s="62"/>
      <c r="Z42" s="62"/>
      <c r="AA42" s="62"/>
      <c r="AB42" s="62"/>
      <c r="AC42" s="62"/>
      <c r="AD42" s="62"/>
      <c r="AE42" s="62"/>
      <c r="AF42" s="62"/>
      <c r="AG42" s="62"/>
      <c r="AH42" s="62"/>
      <c r="AI42" s="62"/>
      <c r="AJ42" s="62"/>
      <c r="AK42" s="62"/>
      <c r="AL42" s="62"/>
      <c r="AM42" s="62"/>
      <c r="AN42" s="62"/>
      <c r="AO42" s="62"/>
      <c r="AP42" s="62"/>
      <c r="AQ42" s="62"/>
      <c r="AR42" s="62"/>
      <c r="AS42" s="62"/>
      <c r="AT42" s="62"/>
      <c r="AU42" s="62"/>
      <c r="AV42" s="62"/>
      <c r="AW42" s="62"/>
      <c r="AX42" s="62"/>
      <c r="AY42" s="62"/>
      <c r="AZ42" s="62"/>
      <c r="BA42" s="62"/>
      <c r="BB42" s="62"/>
      <c r="BC42" s="62"/>
      <c r="BD42" s="62"/>
      <c r="BE42" s="62"/>
      <c r="BF42" s="62"/>
      <c r="BG42" s="62"/>
      <c r="BH42" s="62"/>
      <c r="BI42" s="62"/>
      <c r="BJ42" s="62"/>
      <c r="BK42" s="62"/>
      <c r="BL42" s="62"/>
      <c r="BM42" s="62"/>
      <c r="BN42" s="62"/>
      <c r="BO42" s="62"/>
      <c r="BP42" s="62"/>
      <c r="BQ42" s="62"/>
      <c r="BR42" s="62"/>
      <c r="BS42" s="62"/>
      <c r="BT42" s="62"/>
      <c r="BU42" s="62"/>
      <c r="BV42" s="62"/>
      <c r="BW42" s="62"/>
      <c r="BX42" s="62"/>
      <c r="BY42" s="62"/>
      <c r="BZ42" s="62"/>
      <c r="CA42" s="62"/>
      <c r="CB42" s="62"/>
      <c r="CC42" s="62"/>
      <c r="CD42" s="62"/>
      <c r="CE42" s="62"/>
      <c r="CF42" s="62"/>
      <c r="CG42" s="62"/>
      <c r="CH42" s="62"/>
      <c r="CI42" s="62"/>
      <c r="CJ42" s="62"/>
      <c r="CK42" s="62"/>
      <c r="CL42" s="62"/>
      <c r="CM42" s="62"/>
      <c r="CN42" s="62"/>
      <c r="CO42" s="62"/>
      <c r="CP42" s="62"/>
      <c r="CQ42" s="62"/>
      <c r="CR42" s="62"/>
      <c r="CS42" s="62"/>
      <c r="CT42" s="62"/>
      <c r="CU42" s="62"/>
      <c r="CV42" s="62"/>
      <c r="CW42" s="62"/>
      <c r="CX42" s="62"/>
      <c r="CY42" s="62"/>
      <c r="CZ42" s="62"/>
      <c r="DA42" s="62"/>
      <c r="DB42" s="62"/>
      <c r="DC42" s="62"/>
      <c r="DD42" s="62"/>
      <c r="DE42" s="62"/>
      <c r="DF42" s="62"/>
      <c r="DG42" s="62"/>
      <c r="DH42" s="62"/>
      <c r="DI42" s="62"/>
      <c r="DJ42" s="62"/>
    </row>
    <row r="43" spans="7:114">
      <c r="G43" s="21"/>
      <c r="H43" s="21"/>
      <c r="I43" s="21"/>
      <c r="J43" s="21"/>
      <c r="K43" s="30"/>
      <c r="L43" s="30"/>
      <c r="M43" s="30"/>
      <c r="N43" s="30"/>
      <c r="O43" s="30"/>
      <c r="P43" s="30"/>
      <c r="Q43" s="30"/>
      <c r="R43" s="30"/>
      <c r="S43" s="30"/>
      <c r="T43" s="30"/>
      <c r="U43" s="30"/>
      <c r="V43" s="30"/>
      <c r="W43" s="30"/>
      <c r="X43" s="30"/>
      <c r="Y43" s="30"/>
      <c r="Z43" s="30"/>
      <c r="AA43" s="30"/>
      <c r="AB43" s="30"/>
      <c r="AC43" s="30"/>
      <c r="AD43" s="30"/>
      <c r="AE43" s="30"/>
      <c r="AF43" s="30"/>
      <c r="AG43" s="30"/>
      <c r="AH43" s="30"/>
      <c r="AI43" s="30"/>
      <c r="AJ43" s="30"/>
      <c r="AK43" s="30"/>
      <c r="AL43" s="30"/>
      <c r="AM43" s="30"/>
      <c r="AN43" s="30"/>
      <c r="AO43" s="30"/>
      <c r="AP43" s="30"/>
      <c r="AQ43" s="30"/>
      <c r="AR43" s="30"/>
      <c r="AS43" s="30"/>
      <c r="AT43" s="30"/>
      <c r="AU43" s="30"/>
      <c r="AV43" s="30"/>
      <c r="AW43" s="30"/>
      <c r="AX43" s="30"/>
      <c r="AY43" s="30"/>
      <c r="AZ43" s="30"/>
      <c r="BA43" s="30"/>
      <c r="BB43" s="30"/>
      <c r="BC43" s="30"/>
      <c r="BD43" s="30"/>
      <c r="BE43" s="30"/>
      <c r="BF43" s="30"/>
      <c r="BG43" s="30"/>
      <c r="BH43" s="30"/>
      <c r="BI43" s="30"/>
      <c r="BJ43" s="30"/>
      <c r="BK43" s="30"/>
      <c r="BL43" s="30"/>
      <c r="BM43" s="30"/>
      <c r="BN43" s="30"/>
      <c r="BO43" s="30"/>
      <c r="BP43" s="30"/>
      <c r="BQ43" s="30"/>
      <c r="BR43" s="30"/>
      <c r="BS43" s="30"/>
      <c r="BT43" s="30"/>
      <c r="BU43" s="30"/>
      <c r="BV43" s="30"/>
      <c r="BW43" s="30"/>
      <c r="BX43" s="30"/>
      <c r="BY43" s="30"/>
      <c r="BZ43" s="30"/>
      <c r="CA43" s="30"/>
      <c r="CB43" s="30"/>
      <c r="CC43" s="30"/>
      <c r="CD43" s="30"/>
      <c r="CE43" s="30"/>
      <c r="CF43" s="30"/>
      <c r="CG43" s="30"/>
      <c r="CH43" s="30"/>
      <c r="CI43" s="30"/>
      <c r="CJ43" s="30"/>
      <c r="CK43" s="30"/>
      <c r="CL43" s="30"/>
      <c r="CM43" s="30"/>
      <c r="CN43" s="30"/>
      <c r="CO43" s="30"/>
      <c r="CP43" s="30"/>
      <c r="CQ43" s="30"/>
      <c r="CR43" s="30"/>
      <c r="CS43" s="30"/>
      <c r="CT43" s="30"/>
      <c r="CU43" s="30"/>
      <c r="CV43" s="30"/>
      <c r="CW43" s="30"/>
      <c r="CX43" s="30"/>
      <c r="CY43" s="30"/>
      <c r="CZ43" s="30"/>
      <c r="DA43" s="30"/>
      <c r="DB43" s="30"/>
      <c r="DC43" s="30"/>
      <c r="DD43" s="30"/>
      <c r="DE43" s="30"/>
      <c r="DF43" s="30"/>
      <c r="DG43" s="30"/>
      <c r="DH43" s="30"/>
      <c r="DI43" s="30"/>
      <c r="DJ43" s="30"/>
    </row>
    <row r="44" spans="7:114">
      <c r="G44" s="21"/>
      <c r="H44" s="21"/>
      <c r="I44" s="21"/>
      <c r="J44" s="21"/>
      <c r="K44" s="30"/>
      <c r="L44" s="30"/>
      <c r="M44" s="30"/>
      <c r="N44" s="30"/>
      <c r="O44" s="30"/>
      <c r="P44" s="30"/>
      <c r="Q44" s="30"/>
      <c r="R44" s="30"/>
      <c r="S44" s="30"/>
      <c r="T44" s="30"/>
      <c r="U44" s="30"/>
      <c r="V44" s="30"/>
      <c r="W44" s="30"/>
      <c r="X44" s="30"/>
      <c r="Y44" s="30"/>
      <c r="Z44" s="30"/>
      <c r="AA44" s="30"/>
      <c r="AB44" s="30"/>
      <c r="AC44" s="30"/>
      <c r="AD44" s="30"/>
      <c r="AE44" s="30"/>
      <c r="AF44" s="30"/>
      <c r="AG44" s="30"/>
      <c r="AH44" s="30"/>
      <c r="AI44" s="30"/>
      <c r="AJ44" s="30"/>
      <c r="AK44" s="30"/>
      <c r="AL44" s="30"/>
      <c r="AM44" s="30"/>
      <c r="AN44" s="30"/>
      <c r="AO44" s="30"/>
      <c r="AP44" s="30"/>
      <c r="AQ44" s="30"/>
      <c r="AR44" s="30"/>
      <c r="AS44" s="30"/>
      <c r="AT44" s="30"/>
      <c r="AU44" s="30"/>
      <c r="AV44" s="30"/>
      <c r="AW44" s="30"/>
      <c r="AX44" s="30"/>
      <c r="AY44" s="30"/>
      <c r="AZ44" s="30"/>
      <c r="BA44" s="30"/>
      <c r="BB44" s="30"/>
      <c r="BC44" s="30"/>
      <c r="BD44" s="30"/>
      <c r="BE44" s="30"/>
      <c r="BF44" s="30"/>
      <c r="BG44" s="30"/>
      <c r="BH44" s="30"/>
      <c r="BI44" s="30"/>
      <c r="BJ44" s="30"/>
      <c r="BK44" s="30"/>
      <c r="BL44" s="30"/>
      <c r="BM44" s="30"/>
      <c r="BN44" s="30"/>
      <c r="BO44" s="30"/>
      <c r="BP44" s="30"/>
      <c r="BQ44" s="30"/>
      <c r="BR44" s="30"/>
      <c r="BS44" s="30"/>
      <c r="BT44" s="30"/>
      <c r="BU44" s="30"/>
      <c r="BV44" s="30"/>
      <c r="BW44" s="30"/>
      <c r="BX44" s="30"/>
      <c r="BY44" s="30"/>
      <c r="BZ44" s="30"/>
      <c r="CA44" s="30"/>
      <c r="CB44" s="30"/>
      <c r="CC44" s="30"/>
      <c r="CD44" s="30"/>
      <c r="CE44" s="30"/>
      <c r="CF44" s="30"/>
      <c r="CG44" s="30"/>
      <c r="CH44" s="30"/>
      <c r="CI44" s="30"/>
      <c r="CJ44" s="30"/>
      <c r="CK44" s="30"/>
      <c r="CL44" s="30"/>
      <c r="CM44" s="30"/>
      <c r="CN44" s="30"/>
      <c r="CO44" s="30"/>
      <c r="CP44" s="30"/>
      <c r="CQ44" s="30"/>
      <c r="CR44" s="30"/>
      <c r="CS44" s="30"/>
      <c r="CT44" s="30"/>
      <c r="CU44" s="30"/>
      <c r="CV44" s="30"/>
      <c r="CW44" s="30"/>
      <c r="CX44" s="30"/>
      <c r="CY44" s="30"/>
      <c r="CZ44" s="30"/>
      <c r="DA44" s="30"/>
      <c r="DB44" s="30"/>
      <c r="DC44" s="30"/>
      <c r="DD44" s="30"/>
      <c r="DE44" s="30"/>
      <c r="DF44" s="30"/>
      <c r="DG44" s="30"/>
      <c r="DH44" s="30"/>
      <c r="DI44" s="30"/>
      <c r="DJ44" s="30"/>
    </row>
    <row r="45" spans="7:114">
      <c r="G45" s="21"/>
      <c r="H45" s="21"/>
      <c r="I45" s="21"/>
      <c r="J45" s="21"/>
      <c r="K45" s="30"/>
      <c r="L45" s="30"/>
      <c r="M45" s="30"/>
      <c r="N45" s="30"/>
      <c r="O45" s="30"/>
      <c r="P45" s="30"/>
      <c r="Q45" s="30"/>
      <c r="R45" s="30"/>
      <c r="S45" s="30"/>
      <c r="T45" s="30"/>
      <c r="U45" s="30"/>
      <c r="V45" s="30"/>
      <c r="W45" s="30"/>
      <c r="X45" s="30"/>
      <c r="Y45" s="30"/>
      <c r="Z45" s="30"/>
      <c r="AA45" s="30"/>
      <c r="AB45" s="30"/>
      <c r="AC45" s="30"/>
      <c r="AD45" s="30"/>
      <c r="AE45" s="30"/>
      <c r="AF45" s="30"/>
      <c r="AG45" s="30"/>
      <c r="AH45" s="30"/>
      <c r="AI45" s="30"/>
      <c r="AJ45" s="30"/>
      <c r="AK45" s="30"/>
      <c r="AL45" s="30"/>
      <c r="AM45" s="30"/>
      <c r="AN45" s="30"/>
      <c r="AO45" s="30"/>
      <c r="AP45" s="30"/>
      <c r="AQ45" s="30"/>
      <c r="AR45" s="30"/>
      <c r="AS45" s="30"/>
      <c r="AT45" s="30"/>
      <c r="AU45" s="30"/>
      <c r="AV45" s="30"/>
      <c r="AW45" s="30"/>
      <c r="AX45" s="30"/>
      <c r="AY45" s="30"/>
      <c r="AZ45" s="30"/>
      <c r="BA45" s="30"/>
      <c r="BB45" s="30"/>
      <c r="BC45" s="30"/>
      <c r="BD45" s="30"/>
      <c r="BE45" s="30"/>
      <c r="BF45" s="30"/>
      <c r="BG45" s="30"/>
      <c r="BH45" s="30"/>
      <c r="BI45" s="30"/>
      <c r="BJ45" s="30"/>
      <c r="BK45" s="30"/>
      <c r="BL45" s="30"/>
      <c r="BM45" s="30"/>
      <c r="BN45" s="30"/>
      <c r="BO45" s="30"/>
      <c r="BP45" s="30"/>
      <c r="BQ45" s="30"/>
      <c r="BR45" s="30"/>
      <c r="BS45" s="30"/>
      <c r="BT45" s="30"/>
      <c r="BU45" s="30"/>
      <c r="BV45" s="30"/>
      <c r="BW45" s="30"/>
      <c r="BX45" s="30"/>
      <c r="BY45" s="30"/>
      <c r="BZ45" s="30"/>
      <c r="CA45" s="30"/>
      <c r="CB45" s="30"/>
      <c r="CC45" s="30"/>
      <c r="CD45" s="30"/>
      <c r="CE45" s="30"/>
      <c r="CF45" s="30"/>
      <c r="CG45" s="30"/>
      <c r="CH45" s="30"/>
      <c r="CI45" s="30"/>
      <c r="CJ45" s="30"/>
      <c r="CK45" s="30"/>
      <c r="CL45" s="30"/>
      <c r="CM45" s="30"/>
      <c r="CN45" s="30"/>
      <c r="CO45" s="30"/>
      <c r="CP45" s="30"/>
      <c r="CQ45" s="30"/>
      <c r="CR45" s="30"/>
      <c r="CS45" s="30"/>
      <c r="CT45" s="30"/>
      <c r="CU45" s="30"/>
      <c r="CV45" s="30"/>
      <c r="CW45" s="30"/>
      <c r="CX45" s="30"/>
      <c r="CY45" s="30"/>
      <c r="CZ45" s="30"/>
      <c r="DA45" s="30"/>
      <c r="DB45" s="30"/>
      <c r="DC45" s="30"/>
      <c r="DD45" s="30"/>
      <c r="DE45" s="30"/>
      <c r="DF45" s="30"/>
      <c r="DG45" s="30"/>
      <c r="DH45" s="30"/>
      <c r="DI45" s="30"/>
      <c r="DJ45" s="30"/>
    </row>
    <row r="46" spans="7:114">
      <c r="G46" s="42"/>
      <c r="H46" s="42"/>
      <c r="I46" s="42"/>
      <c r="J46" s="42"/>
      <c r="K46" s="62"/>
      <c r="L46" s="62"/>
      <c r="M46" s="62"/>
      <c r="N46" s="62"/>
      <c r="O46" s="62"/>
      <c r="P46" s="62"/>
      <c r="Q46" s="62"/>
      <c r="R46" s="62"/>
      <c r="S46" s="62"/>
      <c r="T46" s="62"/>
      <c r="U46" s="62"/>
      <c r="V46" s="62"/>
      <c r="W46" s="62"/>
      <c r="X46" s="62"/>
      <c r="Y46" s="62"/>
      <c r="Z46" s="62"/>
      <c r="AA46" s="62"/>
      <c r="AB46" s="62"/>
      <c r="AC46" s="62"/>
      <c r="AD46" s="62"/>
      <c r="AE46" s="62"/>
      <c r="AF46" s="62"/>
      <c r="AG46" s="62"/>
      <c r="AH46" s="62"/>
      <c r="AI46" s="62"/>
      <c r="AJ46" s="62"/>
      <c r="AK46" s="62"/>
      <c r="AL46" s="62"/>
      <c r="AM46" s="62"/>
      <c r="AN46" s="62"/>
      <c r="AO46" s="62"/>
      <c r="AP46" s="62"/>
      <c r="AQ46" s="62"/>
      <c r="AR46" s="62"/>
      <c r="AS46" s="62"/>
      <c r="AT46" s="62"/>
      <c r="AU46" s="62"/>
      <c r="AV46" s="62"/>
      <c r="AW46" s="62"/>
      <c r="AX46" s="62"/>
      <c r="AY46" s="62"/>
      <c r="AZ46" s="62"/>
      <c r="BA46" s="62"/>
      <c r="BB46" s="62"/>
      <c r="BC46" s="62"/>
      <c r="BD46" s="62"/>
      <c r="BE46" s="62"/>
      <c r="BF46" s="62"/>
      <c r="BG46" s="62"/>
      <c r="BH46" s="62"/>
      <c r="BI46" s="62"/>
      <c r="BJ46" s="62"/>
      <c r="BK46" s="62"/>
      <c r="BL46" s="62"/>
      <c r="BM46" s="62"/>
      <c r="BN46" s="62"/>
      <c r="BO46" s="62"/>
      <c r="BP46" s="62"/>
      <c r="BQ46" s="62"/>
      <c r="BR46" s="62"/>
      <c r="BS46" s="62"/>
      <c r="BT46" s="62"/>
      <c r="BU46" s="62"/>
      <c r="BV46" s="62"/>
      <c r="BW46" s="62"/>
      <c r="BX46" s="62"/>
      <c r="BY46" s="62"/>
      <c r="BZ46" s="62"/>
      <c r="CA46" s="62"/>
      <c r="CB46" s="62"/>
      <c r="CC46" s="62"/>
      <c r="CD46" s="62"/>
      <c r="CE46" s="62"/>
      <c r="CF46" s="62"/>
      <c r="CG46" s="62"/>
      <c r="CH46" s="62"/>
      <c r="CI46" s="62"/>
      <c r="CJ46" s="62"/>
      <c r="CK46" s="62"/>
      <c r="CL46" s="62"/>
      <c r="CM46" s="62"/>
      <c r="CN46" s="62"/>
      <c r="CO46" s="62"/>
      <c r="CP46" s="62"/>
      <c r="CQ46" s="62"/>
      <c r="CR46" s="62"/>
      <c r="CS46" s="62"/>
      <c r="CT46" s="62"/>
      <c r="CU46" s="62"/>
      <c r="CV46" s="62"/>
      <c r="CW46" s="62"/>
      <c r="CX46" s="62"/>
      <c r="CY46" s="62"/>
      <c r="CZ46" s="62"/>
      <c r="DA46" s="62"/>
      <c r="DB46" s="62"/>
      <c r="DC46" s="62"/>
      <c r="DD46" s="62"/>
      <c r="DE46" s="62"/>
      <c r="DF46" s="62"/>
      <c r="DG46" s="62"/>
      <c r="DH46" s="62"/>
      <c r="DI46" s="62"/>
      <c r="DJ46" s="62"/>
    </row>
    <row r="47" spans="7:114">
      <c r="G47" s="21"/>
      <c r="H47" s="21"/>
      <c r="I47" s="21"/>
      <c r="J47" s="21"/>
      <c r="K47" s="30"/>
      <c r="L47" s="30"/>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c r="DA47" s="30"/>
      <c r="DB47" s="30"/>
      <c r="DC47" s="30"/>
      <c r="DD47" s="30"/>
      <c r="DE47" s="30"/>
      <c r="DF47" s="30"/>
      <c r="DG47" s="30"/>
      <c r="DH47" s="30"/>
      <c r="DI47" s="30"/>
      <c r="DJ47" s="30"/>
    </row>
    <row r="48" spans="7:114">
      <c r="G48" s="21"/>
      <c r="H48" s="21"/>
      <c r="I48" s="21"/>
      <c r="J48" s="21"/>
      <c r="K48" s="30"/>
      <c r="L48" s="30"/>
      <c r="M48" s="30"/>
      <c r="N48" s="30"/>
      <c r="O48" s="30"/>
      <c r="P48" s="30"/>
      <c r="Q48" s="30"/>
      <c r="R48" s="30"/>
      <c r="S48" s="30"/>
      <c r="T48" s="30"/>
      <c r="U48" s="30"/>
      <c r="V48" s="30"/>
      <c r="W48" s="30"/>
      <c r="X48" s="30"/>
      <c r="Y48" s="30"/>
      <c r="Z48" s="30"/>
      <c r="AA48" s="30"/>
      <c r="AB48" s="30"/>
      <c r="AC48" s="30"/>
      <c r="AD48" s="30"/>
      <c r="AE48" s="30"/>
      <c r="AF48" s="30"/>
      <c r="AG48" s="30"/>
      <c r="AH48" s="30"/>
      <c r="AI48" s="30"/>
      <c r="AJ48" s="30"/>
      <c r="AK48" s="30"/>
      <c r="AL48" s="30"/>
      <c r="AM48" s="30"/>
      <c r="AN48" s="30"/>
      <c r="AO48" s="30"/>
      <c r="AP48" s="30"/>
      <c r="AQ48" s="30"/>
      <c r="AR48" s="30"/>
      <c r="AS48" s="30"/>
      <c r="AT48" s="30"/>
      <c r="AU48" s="30"/>
      <c r="AV48" s="30"/>
      <c r="AW48" s="30"/>
      <c r="AX48" s="30"/>
      <c r="AY48" s="30"/>
      <c r="AZ48" s="30"/>
      <c r="BA48" s="30"/>
      <c r="BB48" s="30"/>
      <c r="BC48" s="30"/>
      <c r="BD48" s="30"/>
      <c r="BE48" s="30"/>
      <c r="BF48" s="30"/>
      <c r="BG48" s="30"/>
      <c r="BH48" s="30"/>
      <c r="BI48" s="30"/>
      <c r="BJ48" s="30"/>
      <c r="BK48" s="30"/>
      <c r="BL48" s="30"/>
      <c r="BM48" s="30"/>
      <c r="BN48" s="30"/>
      <c r="BO48" s="30"/>
      <c r="BP48" s="30"/>
      <c r="BQ48" s="30"/>
      <c r="BR48" s="30"/>
      <c r="BS48" s="30"/>
      <c r="BT48" s="30"/>
      <c r="BU48" s="30"/>
      <c r="BV48" s="30"/>
      <c r="BW48" s="30"/>
      <c r="BX48" s="30"/>
      <c r="BY48" s="30"/>
      <c r="BZ48" s="30"/>
      <c r="CA48" s="30"/>
      <c r="CB48" s="30"/>
      <c r="CC48" s="30"/>
      <c r="CD48" s="30"/>
      <c r="CE48" s="30"/>
      <c r="CF48" s="30"/>
      <c r="CG48" s="30"/>
      <c r="CH48" s="30"/>
      <c r="CI48" s="30"/>
      <c r="CJ48" s="30"/>
      <c r="CK48" s="30"/>
      <c r="CL48" s="30"/>
      <c r="CM48" s="30"/>
      <c r="CN48" s="30"/>
      <c r="CO48" s="30"/>
      <c r="CP48" s="30"/>
      <c r="CQ48" s="30"/>
      <c r="CR48" s="30"/>
      <c r="CS48" s="30"/>
      <c r="CT48" s="30"/>
      <c r="CU48" s="30"/>
      <c r="CV48" s="30"/>
      <c r="CW48" s="30"/>
      <c r="CX48" s="30"/>
      <c r="CY48" s="30"/>
      <c r="CZ48" s="30"/>
      <c r="DA48" s="30"/>
      <c r="DB48" s="30"/>
      <c r="DC48" s="30"/>
      <c r="DD48" s="30"/>
      <c r="DE48" s="30"/>
      <c r="DF48" s="30"/>
      <c r="DG48" s="30"/>
      <c r="DH48" s="30"/>
      <c r="DI48" s="30"/>
      <c r="DJ48" s="30"/>
    </row>
    <row r="49" spans="7:114">
      <c r="G49" s="21"/>
      <c r="H49" s="21"/>
      <c r="I49" s="21"/>
      <c r="J49" s="21"/>
      <c r="K49" s="30"/>
      <c r="L49" s="30"/>
      <c r="M49" s="30"/>
      <c r="N49" s="30"/>
      <c r="O49" s="30"/>
      <c r="P49" s="30"/>
      <c r="Q49" s="30"/>
      <c r="R49" s="30"/>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30"/>
      <c r="AX49" s="30"/>
      <c r="AY49" s="30"/>
      <c r="AZ49" s="30"/>
      <c r="BA49" s="30"/>
      <c r="BB49" s="30"/>
      <c r="BC49" s="30"/>
      <c r="BD49" s="30"/>
      <c r="BE49" s="30"/>
      <c r="BF49" s="30"/>
      <c r="BG49" s="30"/>
      <c r="BH49" s="30"/>
      <c r="BI49" s="30"/>
      <c r="BJ49" s="30"/>
      <c r="BK49" s="30"/>
      <c r="BL49" s="30"/>
      <c r="BM49" s="30"/>
      <c r="BN49" s="30"/>
      <c r="BO49" s="30"/>
      <c r="BP49" s="30"/>
      <c r="BQ49" s="30"/>
      <c r="BR49" s="30"/>
      <c r="BS49" s="30"/>
      <c r="BT49" s="30"/>
      <c r="BU49" s="30"/>
      <c r="BV49" s="30"/>
      <c r="BW49" s="30"/>
      <c r="BX49" s="30"/>
      <c r="BY49" s="30"/>
      <c r="BZ49" s="30"/>
      <c r="CA49" s="30"/>
      <c r="CB49" s="30"/>
      <c r="CC49" s="30"/>
      <c r="CD49" s="30"/>
      <c r="CE49" s="30"/>
      <c r="CF49" s="30"/>
      <c r="CG49" s="30"/>
      <c r="CH49" s="30"/>
      <c r="CI49" s="30"/>
      <c r="CJ49" s="30"/>
      <c r="CK49" s="30"/>
      <c r="CL49" s="30"/>
      <c r="CM49" s="30"/>
      <c r="CN49" s="30"/>
      <c r="CO49" s="30"/>
      <c r="CP49" s="30"/>
      <c r="CQ49" s="30"/>
      <c r="CR49" s="30"/>
      <c r="CS49" s="30"/>
      <c r="CT49" s="30"/>
      <c r="CU49" s="30"/>
      <c r="CV49" s="30"/>
      <c r="CW49" s="30"/>
      <c r="CX49" s="30"/>
      <c r="CY49" s="30"/>
      <c r="CZ49" s="30"/>
      <c r="DA49" s="30"/>
      <c r="DB49" s="30"/>
      <c r="DC49" s="30"/>
      <c r="DD49" s="30"/>
      <c r="DE49" s="30"/>
      <c r="DF49" s="30"/>
      <c r="DG49" s="30"/>
      <c r="DH49" s="30"/>
      <c r="DI49" s="30"/>
      <c r="DJ49" s="30"/>
    </row>
    <row r="50" spans="7:114">
      <c r="G50" s="42"/>
      <c r="H50" s="42"/>
      <c r="I50" s="42"/>
      <c r="J50" s="42"/>
      <c r="K50" s="62"/>
      <c r="L50" s="62"/>
      <c r="M50" s="62"/>
      <c r="N50" s="62"/>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c r="AR50" s="62"/>
      <c r="AS50" s="62"/>
      <c r="AT50" s="62"/>
      <c r="AU50" s="62"/>
      <c r="AV50" s="62"/>
      <c r="AW50" s="62"/>
      <c r="AX50" s="62"/>
      <c r="AY50" s="62"/>
      <c r="AZ50" s="62"/>
      <c r="BA50" s="62"/>
      <c r="BB50" s="62"/>
      <c r="BC50" s="62"/>
      <c r="BD50" s="62"/>
      <c r="BE50" s="62"/>
      <c r="BF50" s="62"/>
      <c r="BG50" s="62"/>
      <c r="BH50" s="62"/>
      <c r="BI50" s="62"/>
      <c r="BJ50" s="62"/>
      <c r="BK50" s="62"/>
      <c r="BL50" s="62"/>
      <c r="BM50" s="62"/>
      <c r="BN50" s="62"/>
      <c r="BO50" s="62"/>
      <c r="BP50" s="62"/>
      <c r="BQ50" s="62"/>
      <c r="BR50" s="62"/>
      <c r="BS50" s="62"/>
      <c r="BT50" s="62"/>
      <c r="BU50" s="62"/>
      <c r="BV50" s="62"/>
      <c r="BW50" s="62"/>
      <c r="BX50" s="62"/>
      <c r="BY50" s="62"/>
      <c r="BZ50" s="62"/>
      <c r="CA50" s="62"/>
      <c r="CB50" s="62"/>
      <c r="CC50" s="62"/>
      <c r="CD50" s="62"/>
      <c r="CE50" s="62"/>
      <c r="CF50" s="62"/>
      <c r="CG50" s="62"/>
      <c r="CH50" s="62"/>
      <c r="CI50" s="62"/>
      <c r="CJ50" s="62"/>
      <c r="CK50" s="62"/>
      <c r="CL50" s="62"/>
      <c r="CM50" s="62"/>
      <c r="CN50" s="62"/>
      <c r="CO50" s="62"/>
      <c r="CP50" s="62"/>
      <c r="CQ50" s="62"/>
      <c r="CR50" s="62"/>
      <c r="CS50" s="62"/>
      <c r="CT50" s="62"/>
      <c r="CU50" s="62"/>
      <c r="CV50" s="62"/>
      <c r="CW50" s="62"/>
      <c r="CX50" s="62"/>
      <c r="CY50" s="62"/>
      <c r="CZ50" s="62"/>
      <c r="DA50" s="62"/>
      <c r="DB50" s="62"/>
      <c r="DC50" s="62"/>
      <c r="DD50" s="62"/>
      <c r="DE50" s="62"/>
      <c r="DF50" s="62"/>
      <c r="DG50" s="62"/>
      <c r="DH50" s="62"/>
      <c r="DI50" s="62"/>
      <c r="DJ50" s="62"/>
    </row>
    <row r="51" spans="7:114">
      <c r="G51" s="21"/>
      <c r="H51" s="21"/>
      <c r="I51" s="21"/>
      <c r="J51" s="21"/>
      <c r="K51" s="30"/>
      <c r="L51" s="30"/>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c r="DA51" s="30"/>
      <c r="DB51" s="30"/>
      <c r="DC51" s="30"/>
      <c r="DD51" s="30"/>
      <c r="DE51" s="30"/>
      <c r="DF51" s="30"/>
      <c r="DG51" s="30"/>
      <c r="DH51" s="30"/>
      <c r="DI51" s="30"/>
      <c r="DJ51" s="30"/>
    </row>
    <row r="52" spans="7:114">
      <c r="G52" s="21"/>
      <c r="H52" s="21"/>
      <c r="I52" s="21"/>
      <c r="J52" s="21"/>
      <c r="K52" s="30"/>
      <c r="L52" s="30"/>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row>
    <row r="53" spans="7:114">
      <c r="G53" s="21"/>
      <c r="H53" s="21"/>
      <c r="I53" s="21"/>
      <c r="J53" s="21"/>
      <c r="K53" s="30"/>
      <c r="L53" s="30"/>
      <c r="M53" s="30"/>
      <c r="N53" s="30"/>
      <c r="O53" s="30"/>
      <c r="P53" s="30"/>
      <c r="Q53" s="30"/>
      <c r="R53" s="30"/>
      <c r="S53" s="30"/>
      <c r="T53" s="30"/>
      <c r="U53" s="30"/>
      <c r="V53" s="30"/>
      <c r="W53" s="30"/>
      <c r="X53" s="30"/>
      <c r="Y53" s="30"/>
      <c r="Z53" s="30"/>
      <c r="AA53" s="30"/>
      <c r="AB53" s="30"/>
      <c r="AC53" s="30"/>
      <c r="AD53" s="30"/>
      <c r="AE53" s="30"/>
      <c r="AF53" s="30"/>
      <c r="AG53" s="30"/>
      <c r="AH53" s="30"/>
      <c r="AI53" s="30"/>
      <c r="AJ53" s="30"/>
      <c r="AK53" s="30"/>
      <c r="AL53" s="30"/>
      <c r="AM53" s="30"/>
      <c r="AN53" s="30"/>
      <c r="AO53" s="30"/>
      <c r="AP53" s="30"/>
      <c r="AQ53" s="30"/>
      <c r="AR53" s="30"/>
      <c r="AS53" s="30"/>
      <c r="AT53" s="30"/>
      <c r="AU53" s="30"/>
      <c r="AV53" s="30"/>
      <c r="AW53" s="30"/>
      <c r="AX53" s="30"/>
      <c r="AY53" s="30"/>
      <c r="AZ53" s="30"/>
      <c r="BA53" s="30"/>
      <c r="BB53" s="30"/>
      <c r="BC53" s="30"/>
      <c r="BD53" s="30"/>
      <c r="BE53" s="30"/>
      <c r="BF53" s="30"/>
      <c r="BG53" s="30"/>
      <c r="BH53" s="30"/>
      <c r="BI53" s="30"/>
      <c r="BJ53" s="30"/>
      <c r="BK53" s="30"/>
      <c r="BL53" s="30"/>
      <c r="BM53" s="30"/>
      <c r="BN53" s="30"/>
      <c r="BO53" s="30"/>
      <c r="BP53" s="30"/>
      <c r="BQ53" s="30"/>
      <c r="BR53" s="30"/>
      <c r="BS53" s="30"/>
      <c r="BT53" s="30"/>
      <c r="BU53" s="30"/>
      <c r="BV53" s="30"/>
      <c r="BW53" s="30"/>
      <c r="BX53" s="30"/>
      <c r="BY53" s="30"/>
      <c r="BZ53" s="30"/>
      <c r="CA53" s="30"/>
      <c r="CB53" s="30"/>
      <c r="CC53" s="30"/>
      <c r="CD53" s="30"/>
      <c r="CE53" s="30"/>
      <c r="CF53" s="30"/>
      <c r="CG53" s="30"/>
      <c r="CH53" s="30"/>
      <c r="CI53" s="30"/>
      <c r="CJ53" s="30"/>
      <c r="CK53" s="30"/>
      <c r="CL53" s="30"/>
      <c r="CM53" s="30"/>
      <c r="CN53" s="30"/>
      <c r="CO53" s="30"/>
      <c r="CP53" s="30"/>
      <c r="CQ53" s="30"/>
      <c r="CR53" s="30"/>
      <c r="CS53" s="30"/>
      <c r="CT53" s="30"/>
      <c r="CU53" s="30"/>
      <c r="CV53" s="30"/>
      <c r="CW53" s="30"/>
      <c r="CX53" s="30"/>
      <c r="CY53" s="30"/>
      <c r="CZ53" s="30"/>
      <c r="DA53" s="30"/>
      <c r="DB53" s="30"/>
      <c r="DC53" s="30"/>
      <c r="DD53" s="30"/>
      <c r="DE53" s="30"/>
      <c r="DF53" s="30"/>
      <c r="DG53" s="30"/>
      <c r="DH53" s="30"/>
      <c r="DI53" s="30"/>
      <c r="DJ53" s="30"/>
    </row>
    <row r="54" spans="7:114">
      <c r="G54" s="42"/>
      <c r="H54" s="42"/>
      <c r="I54" s="42"/>
      <c r="J54" s="42"/>
      <c r="K54" s="62"/>
      <c r="L54" s="62"/>
      <c r="M54" s="62"/>
      <c r="N54" s="62"/>
      <c r="O54" s="62"/>
      <c r="P54" s="62"/>
      <c r="Q54" s="62"/>
      <c r="R54" s="62"/>
      <c r="S54" s="62"/>
      <c r="T54" s="62"/>
      <c r="U54" s="62"/>
      <c r="V54" s="62"/>
      <c r="W54" s="62"/>
      <c r="X54" s="62"/>
      <c r="Y54" s="62"/>
      <c r="Z54" s="62"/>
      <c r="AA54" s="62"/>
      <c r="AB54" s="62"/>
      <c r="AC54" s="62"/>
      <c r="AD54" s="62"/>
      <c r="AE54" s="62"/>
      <c r="AF54" s="62"/>
      <c r="AG54" s="62"/>
      <c r="AH54" s="62"/>
      <c r="AI54" s="62"/>
      <c r="AJ54" s="62"/>
      <c r="AK54" s="62"/>
      <c r="AL54" s="62"/>
      <c r="AM54" s="62"/>
      <c r="AN54" s="62"/>
      <c r="AO54" s="62"/>
      <c r="AP54" s="62"/>
      <c r="AQ54" s="62"/>
      <c r="AR54" s="62"/>
      <c r="AS54" s="62"/>
      <c r="AT54" s="62"/>
      <c r="AU54" s="62"/>
      <c r="AV54" s="62"/>
      <c r="AW54" s="62"/>
      <c r="AX54" s="62"/>
      <c r="AY54" s="62"/>
      <c r="AZ54" s="62"/>
      <c r="BA54" s="62"/>
      <c r="BB54" s="62"/>
      <c r="BC54" s="62"/>
      <c r="BD54" s="62"/>
      <c r="BE54" s="62"/>
      <c r="BF54" s="62"/>
      <c r="BG54" s="62"/>
      <c r="BH54" s="62"/>
      <c r="BI54" s="62"/>
      <c r="BJ54" s="62"/>
      <c r="BK54" s="62"/>
      <c r="BL54" s="62"/>
      <c r="BM54" s="62"/>
      <c r="BN54" s="62"/>
      <c r="BO54" s="62"/>
      <c r="BP54" s="62"/>
      <c r="BQ54" s="62"/>
      <c r="BR54" s="62"/>
      <c r="BS54" s="62"/>
      <c r="BT54" s="62"/>
      <c r="BU54" s="62"/>
      <c r="BV54" s="62"/>
      <c r="BW54" s="62"/>
      <c r="BX54" s="62"/>
      <c r="BY54" s="62"/>
      <c r="BZ54" s="62"/>
      <c r="CA54" s="62"/>
      <c r="CB54" s="62"/>
      <c r="CC54" s="62"/>
      <c r="CD54" s="62"/>
      <c r="CE54" s="62"/>
      <c r="CF54" s="62"/>
      <c r="CG54" s="62"/>
      <c r="CH54" s="62"/>
      <c r="CI54" s="62"/>
      <c r="CJ54" s="62"/>
      <c r="CK54" s="62"/>
      <c r="CL54" s="62"/>
      <c r="CM54" s="62"/>
      <c r="CN54" s="62"/>
      <c r="CO54" s="62"/>
      <c r="CP54" s="62"/>
      <c r="CQ54" s="62"/>
      <c r="CR54" s="62"/>
      <c r="CS54" s="62"/>
      <c r="CT54" s="62"/>
      <c r="CU54" s="62"/>
      <c r="CV54" s="62"/>
      <c r="CW54" s="62"/>
      <c r="CX54" s="62"/>
      <c r="CY54" s="62"/>
      <c r="CZ54" s="62"/>
      <c r="DA54" s="62"/>
      <c r="DB54" s="62"/>
      <c r="DC54" s="62"/>
      <c r="DD54" s="62"/>
      <c r="DE54" s="62"/>
      <c r="DF54" s="62"/>
      <c r="DG54" s="62"/>
      <c r="DH54" s="62"/>
      <c r="DI54" s="62"/>
      <c r="DJ54" s="62"/>
    </row>
    <row r="55" spans="7:114">
      <c r="G55" s="21"/>
      <c r="H55" s="21"/>
      <c r="I55" s="21"/>
      <c r="J55" s="21"/>
      <c r="K55" s="30"/>
      <c r="L55" s="30"/>
      <c r="M55" s="30"/>
      <c r="N55" s="30"/>
      <c r="O55" s="30"/>
      <c r="P55" s="30"/>
      <c r="Q55" s="30"/>
      <c r="R55" s="30"/>
      <c r="S55" s="30"/>
      <c r="T55" s="30"/>
      <c r="U55" s="30"/>
      <c r="V55" s="30"/>
      <c r="W55" s="30"/>
      <c r="X55" s="30"/>
      <c r="Y55" s="30"/>
      <c r="Z55" s="30"/>
      <c r="AA55" s="30"/>
      <c r="AB55" s="30"/>
      <c r="AC55" s="30"/>
      <c r="AD55" s="30"/>
      <c r="AE55" s="30"/>
      <c r="AF55" s="30"/>
      <c r="AG55" s="30"/>
      <c r="AH55" s="30"/>
      <c r="AI55" s="30"/>
      <c r="AJ55" s="30"/>
      <c r="AK55" s="30"/>
      <c r="AL55" s="30"/>
      <c r="AM55" s="30"/>
      <c r="AN55" s="30"/>
      <c r="AO55" s="30"/>
      <c r="AP55" s="30"/>
      <c r="AQ55" s="30"/>
      <c r="AR55" s="30"/>
      <c r="AS55" s="30"/>
      <c r="AT55" s="30"/>
      <c r="AU55" s="30"/>
      <c r="AV55" s="30"/>
      <c r="AW55" s="30"/>
      <c r="AX55" s="30"/>
      <c r="AY55" s="30"/>
      <c r="AZ55" s="30"/>
      <c r="BA55" s="30"/>
      <c r="BB55" s="30"/>
      <c r="BC55" s="30"/>
      <c r="BD55" s="30"/>
      <c r="BE55" s="30"/>
      <c r="BF55" s="30"/>
      <c r="BG55" s="30"/>
      <c r="BH55" s="30"/>
      <c r="BI55" s="30"/>
      <c r="BJ55" s="30"/>
      <c r="BK55" s="30"/>
      <c r="BL55" s="30"/>
      <c r="BM55" s="30"/>
      <c r="BN55" s="30"/>
      <c r="BO55" s="30"/>
      <c r="BP55" s="30"/>
      <c r="BQ55" s="30"/>
      <c r="BR55" s="30"/>
      <c r="BS55" s="30"/>
      <c r="BT55" s="30"/>
      <c r="BU55" s="30"/>
      <c r="BV55" s="30"/>
      <c r="BW55" s="30"/>
      <c r="BX55" s="30"/>
      <c r="BY55" s="30"/>
      <c r="BZ55" s="30"/>
      <c r="CA55" s="30"/>
      <c r="CB55" s="30"/>
      <c r="CC55" s="30"/>
      <c r="CD55" s="30"/>
      <c r="CE55" s="30"/>
      <c r="CF55" s="30"/>
      <c r="CG55" s="30"/>
      <c r="CH55" s="30"/>
      <c r="CI55" s="30"/>
      <c r="CJ55" s="30"/>
      <c r="CK55" s="30"/>
      <c r="CL55" s="30"/>
      <c r="CM55" s="30"/>
      <c r="CN55" s="30"/>
      <c r="CO55" s="30"/>
      <c r="CP55" s="30"/>
      <c r="CQ55" s="30"/>
      <c r="CR55" s="30"/>
      <c r="CS55" s="30"/>
      <c r="CT55" s="30"/>
      <c r="CU55" s="30"/>
      <c r="CV55" s="30"/>
      <c r="CW55" s="30"/>
      <c r="CX55" s="30"/>
      <c r="CY55" s="30"/>
      <c r="CZ55" s="30"/>
      <c r="DA55" s="30"/>
      <c r="DB55" s="30"/>
      <c r="DC55" s="30"/>
      <c r="DD55" s="30"/>
      <c r="DE55" s="30"/>
      <c r="DF55" s="30"/>
      <c r="DG55" s="30"/>
      <c r="DH55" s="30"/>
      <c r="DI55" s="30"/>
      <c r="DJ55" s="30"/>
    </row>
    <row r="56" spans="7:114">
      <c r="G56" s="21"/>
      <c r="H56" s="21"/>
      <c r="I56" s="21"/>
      <c r="J56" s="21"/>
      <c r="K56" s="30"/>
      <c r="L56" s="30"/>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row>
    <row r="57" spans="7:114">
      <c r="G57" s="21"/>
      <c r="H57" s="21"/>
      <c r="I57" s="21"/>
      <c r="J57" s="21"/>
      <c r="K57" s="30"/>
      <c r="L57" s="30"/>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c r="CY57" s="30"/>
      <c r="CZ57" s="30"/>
      <c r="DA57" s="30"/>
      <c r="DB57" s="30"/>
      <c r="DC57" s="30"/>
      <c r="DD57" s="30"/>
      <c r="DE57" s="30"/>
      <c r="DF57" s="30"/>
      <c r="DG57" s="30"/>
      <c r="DH57" s="30"/>
      <c r="DI57" s="30"/>
      <c r="DJ57" s="30"/>
    </row>
    <row r="58" spans="7:114">
      <c r="G58" s="42"/>
      <c r="H58" s="42"/>
      <c r="I58" s="42"/>
      <c r="J58" s="42"/>
      <c r="K58" s="62"/>
      <c r="L58" s="62"/>
      <c r="M58" s="62"/>
      <c r="N58" s="62"/>
      <c r="O58" s="62"/>
      <c r="P58" s="62"/>
      <c r="Q58" s="62"/>
      <c r="R58" s="62"/>
      <c r="S58" s="62"/>
      <c r="T58" s="62"/>
      <c r="U58" s="62"/>
      <c r="V58" s="62"/>
      <c r="W58" s="62"/>
      <c r="X58" s="62"/>
      <c r="Y58" s="62"/>
      <c r="Z58" s="62"/>
      <c r="AA58" s="62"/>
      <c r="AB58" s="62"/>
      <c r="AC58" s="62"/>
      <c r="AD58" s="62"/>
      <c r="AE58" s="62"/>
      <c r="AF58" s="62"/>
      <c r="AG58" s="62"/>
      <c r="AH58" s="62"/>
      <c r="AI58" s="62"/>
      <c r="AJ58" s="62"/>
      <c r="AK58" s="62"/>
      <c r="AL58" s="62"/>
      <c r="AM58" s="62"/>
      <c r="AN58" s="62"/>
      <c r="AO58" s="62"/>
      <c r="AP58" s="62"/>
      <c r="AQ58" s="62"/>
      <c r="AR58" s="62"/>
      <c r="AS58" s="62"/>
      <c r="AT58" s="62"/>
      <c r="AU58" s="62"/>
      <c r="AV58" s="62"/>
      <c r="AW58" s="62"/>
      <c r="AX58" s="62"/>
      <c r="AY58" s="62"/>
      <c r="AZ58" s="62"/>
      <c r="BA58" s="62"/>
      <c r="BB58" s="62"/>
      <c r="BC58" s="62"/>
      <c r="BD58" s="62"/>
      <c r="BE58" s="62"/>
      <c r="BF58" s="62"/>
      <c r="BG58" s="62"/>
      <c r="BH58" s="62"/>
      <c r="BI58" s="62"/>
      <c r="BJ58" s="62"/>
      <c r="BK58" s="62"/>
      <c r="BL58" s="62"/>
      <c r="BM58" s="62"/>
      <c r="BN58" s="62"/>
      <c r="BO58" s="62"/>
      <c r="BP58" s="62"/>
      <c r="BQ58" s="62"/>
      <c r="BR58" s="62"/>
      <c r="BS58" s="62"/>
      <c r="BT58" s="62"/>
      <c r="BU58" s="62"/>
      <c r="BV58" s="62"/>
      <c r="BW58" s="62"/>
      <c r="BX58" s="62"/>
      <c r="BY58" s="62"/>
      <c r="BZ58" s="62"/>
      <c r="CA58" s="62"/>
      <c r="CB58" s="62"/>
      <c r="CC58" s="62"/>
      <c r="CD58" s="62"/>
      <c r="CE58" s="62"/>
      <c r="CF58" s="62"/>
      <c r="CG58" s="62"/>
      <c r="CH58" s="62"/>
      <c r="CI58" s="62"/>
      <c r="CJ58" s="62"/>
      <c r="CK58" s="62"/>
      <c r="CL58" s="62"/>
      <c r="CM58" s="62"/>
      <c r="CN58" s="62"/>
      <c r="CO58" s="62"/>
      <c r="CP58" s="62"/>
      <c r="CQ58" s="62"/>
      <c r="CR58" s="62"/>
      <c r="CS58" s="62"/>
      <c r="CT58" s="62"/>
      <c r="CU58" s="62"/>
      <c r="CV58" s="62"/>
      <c r="CW58" s="62"/>
      <c r="CX58" s="62"/>
      <c r="CY58" s="62"/>
      <c r="CZ58" s="62"/>
      <c r="DA58" s="62"/>
      <c r="DB58" s="62"/>
      <c r="DC58" s="62"/>
      <c r="DD58" s="62"/>
      <c r="DE58" s="62"/>
      <c r="DF58" s="62"/>
      <c r="DG58" s="62"/>
      <c r="DH58" s="62"/>
      <c r="DI58" s="62"/>
      <c r="DJ58" s="62"/>
    </row>
    <row r="59" spans="7:114">
      <c r="G59" s="21"/>
      <c r="H59" s="21"/>
      <c r="I59" s="21"/>
      <c r="J59" s="21"/>
      <c r="K59" s="30"/>
      <c r="L59" s="30"/>
      <c r="M59" s="30"/>
      <c r="N59" s="30"/>
      <c r="O59" s="30"/>
      <c r="P59" s="30"/>
      <c r="Q59" s="30"/>
      <c r="R59" s="30"/>
      <c r="S59" s="30"/>
      <c r="T59" s="30"/>
      <c r="U59" s="30"/>
      <c r="V59" s="30"/>
      <c r="W59" s="30"/>
      <c r="X59" s="30"/>
      <c r="Y59" s="30"/>
      <c r="Z59" s="30"/>
      <c r="AA59" s="30"/>
      <c r="AB59" s="30"/>
      <c r="AC59" s="30"/>
      <c r="AD59" s="30"/>
      <c r="AE59" s="30"/>
      <c r="AF59" s="30"/>
      <c r="AG59" s="30"/>
      <c r="AH59" s="30"/>
      <c r="AI59" s="30"/>
      <c r="AJ59" s="30"/>
      <c r="AK59" s="30"/>
      <c r="AL59" s="30"/>
      <c r="AM59" s="30"/>
      <c r="AN59" s="30"/>
      <c r="AO59" s="30"/>
      <c r="AP59" s="30"/>
      <c r="AQ59" s="30"/>
      <c r="AR59" s="30"/>
      <c r="AS59" s="30"/>
      <c r="AT59" s="30"/>
      <c r="AU59" s="30"/>
      <c r="AV59" s="30"/>
      <c r="AW59" s="30"/>
      <c r="AX59" s="30"/>
      <c r="AY59" s="30"/>
      <c r="AZ59" s="30"/>
      <c r="BA59" s="30"/>
      <c r="BB59" s="30"/>
      <c r="BC59" s="30"/>
      <c r="BD59" s="30"/>
      <c r="BE59" s="30"/>
      <c r="BF59" s="30"/>
      <c r="BG59" s="30"/>
      <c r="BH59" s="30"/>
      <c r="BI59" s="30"/>
      <c r="BJ59" s="30"/>
      <c r="BK59" s="30"/>
      <c r="BL59" s="30"/>
      <c r="BM59" s="30"/>
      <c r="BN59" s="30"/>
      <c r="BO59" s="30"/>
      <c r="BP59" s="30"/>
      <c r="BQ59" s="30"/>
      <c r="BR59" s="30"/>
      <c r="BS59" s="30"/>
      <c r="BT59" s="30"/>
      <c r="BU59" s="30"/>
      <c r="BV59" s="30"/>
      <c r="BW59" s="30"/>
      <c r="BX59" s="30"/>
      <c r="BY59" s="30"/>
      <c r="BZ59" s="30"/>
      <c r="CA59" s="30"/>
      <c r="CB59" s="30"/>
      <c r="CC59" s="30"/>
      <c r="CD59" s="30"/>
      <c r="CE59" s="30"/>
      <c r="CF59" s="30"/>
      <c r="CG59" s="30"/>
      <c r="CH59" s="30"/>
      <c r="CI59" s="30"/>
      <c r="CJ59" s="30"/>
      <c r="CK59" s="30"/>
      <c r="CL59" s="30"/>
      <c r="CM59" s="30"/>
      <c r="CN59" s="30"/>
      <c r="CO59" s="30"/>
      <c r="CP59" s="30"/>
      <c r="CQ59" s="30"/>
      <c r="CR59" s="30"/>
      <c r="CS59" s="30"/>
      <c r="CT59" s="30"/>
      <c r="CU59" s="30"/>
      <c r="CV59" s="30"/>
      <c r="CW59" s="30"/>
      <c r="CX59" s="30"/>
      <c r="CY59" s="30"/>
      <c r="CZ59" s="30"/>
      <c r="DA59" s="30"/>
      <c r="DB59" s="30"/>
      <c r="DC59" s="30"/>
      <c r="DD59" s="30"/>
      <c r="DE59" s="30"/>
      <c r="DF59" s="30"/>
      <c r="DG59" s="30"/>
      <c r="DH59" s="30"/>
      <c r="DI59" s="30"/>
      <c r="DJ59" s="30"/>
    </row>
    <row r="60" spans="7:114">
      <c r="G60" s="21"/>
      <c r="H60" s="21"/>
      <c r="I60" s="21"/>
      <c r="J60" s="21"/>
      <c r="K60" s="30"/>
      <c r="L60" s="30"/>
      <c r="M60" s="30"/>
      <c r="N60" s="30"/>
      <c r="O60" s="30"/>
      <c r="P60" s="30"/>
      <c r="Q60" s="30"/>
      <c r="R60" s="30"/>
      <c r="S60" s="30"/>
      <c r="T60" s="30"/>
      <c r="U60" s="30"/>
      <c r="V60" s="30"/>
      <c r="W60" s="30"/>
      <c r="X60" s="30"/>
      <c r="Y60" s="30"/>
      <c r="Z60" s="30"/>
      <c r="AA60" s="30"/>
      <c r="AB60" s="30"/>
      <c r="AC60" s="30"/>
      <c r="AD60" s="30"/>
      <c r="AE60" s="30"/>
      <c r="AF60" s="30"/>
      <c r="AG60" s="30"/>
      <c r="AH60" s="30"/>
      <c r="AI60" s="30"/>
      <c r="AJ60" s="30"/>
      <c r="AK60" s="30"/>
      <c r="AL60" s="30"/>
      <c r="AM60" s="30"/>
      <c r="AN60" s="30"/>
      <c r="AO60" s="30"/>
      <c r="AP60" s="30"/>
      <c r="AQ60" s="30"/>
      <c r="AR60" s="30"/>
      <c r="AS60" s="30"/>
      <c r="AT60" s="30"/>
      <c r="AU60" s="30"/>
      <c r="AV60" s="30"/>
      <c r="AW60" s="30"/>
      <c r="AX60" s="30"/>
      <c r="AY60" s="30"/>
      <c r="AZ60" s="30"/>
      <c r="BA60" s="30"/>
      <c r="BB60" s="30"/>
      <c r="BC60" s="30"/>
      <c r="BD60" s="30"/>
      <c r="BE60" s="30"/>
      <c r="BF60" s="30"/>
      <c r="BG60" s="30"/>
      <c r="BH60" s="30"/>
      <c r="BI60" s="30"/>
      <c r="BJ60" s="30"/>
      <c r="BK60" s="30"/>
      <c r="BL60" s="30"/>
      <c r="BM60" s="30"/>
      <c r="BN60" s="30"/>
      <c r="BO60" s="30"/>
      <c r="BP60" s="30"/>
      <c r="BQ60" s="30"/>
      <c r="BR60" s="30"/>
      <c r="BS60" s="30"/>
      <c r="BT60" s="30"/>
      <c r="BU60" s="30"/>
      <c r="BV60" s="30"/>
      <c r="BW60" s="30"/>
      <c r="BX60" s="30"/>
      <c r="BY60" s="30"/>
      <c r="BZ60" s="30"/>
      <c r="CA60" s="30"/>
      <c r="CB60" s="30"/>
      <c r="CC60" s="30"/>
      <c r="CD60" s="30"/>
      <c r="CE60" s="30"/>
      <c r="CF60" s="30"/>
      <c r="CG60" s="30"/>
      <c r="CH60" s="30"/>
      <c r="CI60" s="30"/>
      <c r="CJ60" s="30"/>
      <c r="CK60" s="30"/>
      <c r="CL60" s="30"/>
      <c r="CM60" s="30"/>
      <c r="CN60" s="30"/>
      <c r="CO60" s="30"/>
      <c r="CP60" s="30"/>
      <c r="CQ60" s="30"/>
      <c r="CR60" s="30"/>
      <c r="CS60" s="30"/>
      <c r="CT60" s="30"/>
      <c r="CU60" s="30"/>
      <c r="CV60" s="30"/>
      <c r="CW60" s="30"/>
      <c r="CX60" s="30"/>
      <c r="CY60" s="30"/>
      <c r="CZ60" s="30"/>
      <c r="DA60" s="30"/>
      <c r="DB60" s="30"/>
      <c r="DC60" s="30"/>
      <c r="DD60" s="30"/>
      <c r="DE60" s="30"/>
      <c r="DF60" s="30"/>
      <c r="DG60" s="30"/>
      <c r="DH60" s="30"/>
      <c r="DI60" s="30"/>
      <c r="DJ60" s="30"/>
    </row>
    <row r="61" spans="7:114">
      <c r="G61" s="21"/>
      <c r="H61" s="21"/>
      <c r="I61" s="21"/>
      <c r="J61" s="21"/>
      <c r="K61" s="30"/>
      <c r="L61" s="30"/>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c r="CY61" s="30"/>
      <c r="CZ61" s="30"/>
      <c r="DA61" s="30"/>
      <c r="DB61" s="30"/>
      <c r="DC61" s="30"/>
      <c r="DD61" s="30"/>
      <c r="DE61" s="30"/>
      <c r="DF61" s="30"/>
      <c r="DG61" s="30"/>
      <c r="DH61" s="30"/>
      <c r="DI61" s="30"/>
      <c r="DJ61" s="30"/>
    </row>
    <row r="62" spans="7:114">
      <c r="G62" s="42"/>
      <c r="H62" s="42"/>
      <c r="I62" s="42"/>
      <c r="J62" s="42"/>
      <c r="K62" s="62"/>
      <c r="L62" s="62"/>
      <c r="M62" s="62"/>
      <c r="N62" s="62"/>
      <c r="O62" s="62"/>
      <c r="P62" s="62"/>
      <c r="Q62" s="62"/>
      <c r="R62" s="62"/>
      <c r="S62" s="62"/>
      <c r="T62" s="62"/>
      <c r="U62" s="62"/>
      <c r="V62" s="62"/>
      <c r="W62" s="62"/>
      <c r="X62" s="62"/>
      <c r="Y62" s="62"/>
      <c r="Z62" s="62"/>
      <c r="AA62" s="62"/>
      <c r="AB62" s="62"/>
      <c r="AC62" s="62"/>
      <c r="AD62" s="62"/>
      <c r="AE62" s="62"/>
      <c r="AF62" s="62"/>
      <c r="AG62" s="62"/>
      <c r="AH62" s="62"/>
      <c r="AI62" s="62"/>
      <c r="AJ62" s="62"/>
      <c r="AK62" s="62"/>
      <c r="AL62" s="62"/>
      <c r="AM62" s="62"/>
      <c r="AN62" s="62"/>
      <c r="AO62" s="62"/>
      <c r="AP62" s="62"/>
      <c r="AQ62" s="62"/>
      <c r="AR62" s="62"/>
      <c r="AS62" s="62"/>
      <c r="AT62" s="62"/>
      <c r="AU62" s="62"/>
      <c r="AV62" s="62"/>
      <c r="AW62" s="62"/>
      <c r="AX62" s="62"/>
      <c r="AY62" s="62"/>
      <c r="AZ62" s="62"/>
      <c r="BA62" s="62"/>
      <c r="BB62" s="62"/>
      <c r="BC62" s="62"/>
      <c r="BD62" s="62"/>
      <c r="BE62" s="62"/>
      <c r="BF62" s="62"/>
      <c r="BG62" s="62"/>
      <c r="BH62" s="62"/>
      <c r="BI62" s="62"/>
      <c r="BJ62" s="62"/>
      <c r="BK62" s="62"/>
      <c r="BL62" s="62"/>
      <c r="BM62" s="62"/>
      <c r="BN62" s="62"/>
      <c r="BO62" s="62"/>
      <c r="BP62" s="62"/>
      <c r="BQ62" s="62"/>
      <c r="BR62" s="62"/>
      <c r="BS62" s="62"/>
      <c r="BT62" s="62"/>
      <c r="BU62" s="62"/>
      <c r="BV62" s="62"/>
      <c r="BW62" s="62"/>
      <c r="BX62" s="62"/>
      <c r="BY62" s="62"/>
      <c r="BZ62" s="62"/>
      <c r="CA62" s="62"/>
      <c r="CB62" s="62"/>
      <c r="CC62" s="62"/>
      <c r="CD62" s="62"/>
      <c r="CE62" s="62"/>
      <c r="CF62" s="62"/>
      <c r="CG62" s="62"/>
      <c r="CH62" s="62"/>
      <c r="CI62" s="62"/>
      <c r="CJ62" s="62"/>
      <c r="CK62" s="62"/>
      <c r="CL62" s="62"/>
      <c r="CM62" s="62"/>
      <c r="CN62" s="62"/>
      <c r="CO62" s="62"/>
      <c r="CP62" s="62"/>
      <c r="CQ62" s="62"/>
      <c r="CR62" s="62"/>
      <c r="CS62" s="62"/>
      <c r="CT62" s="62"/>
      <c r="CU62" s="62"/>
      <c r="CV62" s="62"/>
      <c r="CW62" s="62"/>
      <c r="CX62" s="62"/>
      <c r="CY62" s="62"/>
      <c r="CZ62" s="62"/>
      <c r="DA62" s="62"/>
      <c r="DB62" s="62"/>
      <c r="DC62" s="62"/>
      <c r="DD62" s="62"/>
      <c r="DE62" s="62"/>
      <c r="DF62" s="62"/>
      <c r="DG62" s="62"/>
      <c r="DH62" s="62"/>
      <c r="DI62" s="62"/>
      <c r="DJ62" s="62"/>
    </row>
    <row r="63" spans="7:114">
      <c r="G63" s="21"/>
      <c r="H63" s="21"/>
      <c r="I63" s="21"/>
      <c r="J63" s="21"/>
      <c r="K63" s="30"/>
      <c r="L63" s="30"/>
      <c r="M63" s="30"/>
      <c r="N63" s="30"/>
      <c r="O63" s="30"/>
      <c r="P63" s="30"/>
      <c r="Q63" s="30"/>
      <c r="R63" s="30"/>
      <c r="S63" s="30"/>
      <c r="T63" s="30"/>
      <c r="U63" s="30"/>
      <c r="V63" s="30"/>
      <c r="W63" s="30"/>
      <c r="X63" s="30"/>
      <c r="Y63" s="30"/>
      <c r="Z63" s="30"/>
      <c r="AA63" s="30"/>
      <c r="AB63" s="30"/>
      <c r="AC63" s="30"/>
      <c r="AD63" s="30"/>
      <c r="AE63" s="30"/>
      <c r="AF63" s="30"/>
      <c r="AG63" s="30"/>
      <c r="AH63" s="30"/>
      <c r="AI63" s="30"/>
      <c r="AJ63" s="30"/>
      <c r="AK63" s="30"/>
      <c r="AL63" s="30"/>
      <c r="AM63" s="30"/>
      <c r="AN63" s="30"/>
      <c r="AO63" s="30"/>
      <c r="AP63" s="30"/>
      <c r="AQ63" s="30"/>
      <c r="AR63" s="30"/>
      <c r="AS63" s="30"/>
      <c r="AT63" s="30"/>
      <c r="AU63" s="30"/>
      <c r="AV63" s="30"/>
      <c r="AW63" s="30"/>
      <c r="AX63" s="30"/>
      <c r="AY63" s="30"/>
      <c r="AZ63" s="30"/>
      <c r="BA63" s="30"/>
      <c r="BB63" s="30"/>
      <c r="BC63" s="30"/>
      <c r="BD63" s="30"/>
      <c r="BE63" s="30"/>
      <c r="BF63" s="30"/>
      <c r="BG63" s="30"/>
      <c r="BH63" s="30"/>
      <c r="BI63" s="30"/>
      <c r="BJ63" s="30"/>
      <c r="BK63" s="30"/>
      <c r="BL63" s="30"/>
      <c r="BM63" s="30"/>
      <c r="BN63" s="30"/>
      <c r="BO63" s="30"/>
      <c r="BP63" s="30"/>
      <c r="BQ63" s="30"/>
      <c r="BR63" s="30"/>
      <c r="BS63" s="30"/>
      <c r="BT63" s="30"/>
      <c r="BU63" s="30"/>
      <c r="BV63" s="30"/>
      <c r="BW63" s="30"/>
      <c r="BX63" s="30"/>
      <c r="BY63" s="30"/>
      <c r="BZ63" s="30"/>
      <c r="CA63" s="30"/>
      <c r="CB63" s="30"/>
      <c r="CC63" s="30"/>
      <c r="CD63" s="30"/>
      <c r="CE63" s="30"/>
      <c r="CF63" s="30"/>
      <c r="CG63" s="30"/>
      <c r="CH63" s="30"/>
      <c r="CI63" s="30"/>
      <c r="CJ63" s="30"/>
      <c r="CK63" s="30"/>
      <c r="CL63" s="30"/>
      <c r="CM63" s="30"/>
      <c r="CN63" s="30"/>
      <c r="CO63" s="30"/>
      <c r="CP63" s="30"/>
      <c r="CQ63" s="30"/>
      <c r="CR63" s="30"/>
      <c r="CS63" s="30"/>
      <c r="CT63" s="30"/>
      <c r="CU63" s="30"/>
      <c r="CV63" s="30"/>
      <c r="CW63" s="30"/>
      <c r="CX63" s="30"/>
      <c r="CY63" s="30"/>
      <c r="CZ63" s="30"/>
      <c r="DA63" s="30"/>
      <c r="DB63" s="30"/>
      <c r="DC63" s="30"/>
      <c r="DD63" s="30"/>
      <c r="DE63" s="30"/>
      <c r="DF63" s="30"/>
      <c r="DG63" s="30"/>
      <c r="DH63" s="30"/>
      <c r="DI63" s="30"/>
      <c r="DJ63" s="30"/>
    </row>
    <row r="64" spans="7:114">
      <c r="G64" s="21"/>
      <c r="H64" s="21"/>
      <c r="I64" s="21"/>
      <c r="J64" s="21"/>
      <c r="K64" s="30"/>
      <c r="L64" s="30"/>
      <c r="M64" s="30"/>
      <c r="N64" s="30"/>
      <c r="O64" s="30"/>
      <c r="P64" s="30"/>
      <c r="Q64" s="30"/>
      <c r="R64" s="30"/>
      <c r="S64" s="30"/>
      <c r="T64" s="30"/>
      <c r="U64" s="30"/>
      <c r="V64" s="30"/>
      <c r="W64" s="30"/>
      <c r="X64" s="30"/>
      <c r="Y64" s="30"/>
      <c r="Z64" s="30"/>
      <c r="AA64" s="30"/>
      <c r="AB64" s="30"/>
      <c r="AC64" s="30"/>
      <c r="AD64" s="30"/>
      <c r="AE64" s="30"/>
      <c r="AF64" s="30"/>
      <c r="AG64" s="30"/>
      <c r="AH64" s="30"/>
      <c r="AI64" s="30"/>
      <c r="AJ64" s="30"/>
      <c r="AK64" s="30"/>
      <c r="AL64" s="30"/>
      <c r="AM64" s="30"/>
      <c r="AN64" s="30"/>
      <c r="AO64" s="30"/>
      <c r="AP64" s="30"/>
      <c r="AQ64" s="30"/>
      <c r="AR64" s="30"/>
      <c r="AS64" s="30"/>
      <c r="AT64" s="30"/>
      <c r="AU64" s="30"/>
      <c r="AV64" s="30"/>
      <c r="AW64" s="30"/>
      <c r="AX64" s="30"/>
      <c r="AY64" s="30"/>
      <c r="AZ64" s="30"/>
      <c r="BA64" s="30"/>
      <c r="BB64" s="30"/>
      <c r="BC64" s="30"/>
      <c r="BD64" s="30"/>
      <c r="BE64" s="30"/>
      <c r="BF64" s="30"/>
      <c r="BG64" s="30"/>
      <c r="BH64" s="30"/>
      <c r="BI64" s="30"/>
      <c r="BJ64" s="30"/>
      <c r="BK64" s="30"/>
      <c r="BL64" s="30"/>
      <c r="BM64" s="30"/>
      <c r="BN64" s="30"/>
      <c r="BO64" s="30"/>
      <c r="BP64" s="30"/>
      <c r="BQ64" s="30"/>
      <c r="BR64" s="30"/>
      <c r="BS64" s="30"/>
      <c r="BT64" s="30"/>
      <c r="BU64" s="30"/>
      <c r="BV64" s="30"/>
      <c r="BW64" s="30"/>
      <c r="BX64" s="30"/>
      <c r="BY64" s="30"/>
      <c r="BZ64" s="30"/>
      <c r="CA64" s="30"/>
      <c r="CB64" s="30"/>
      <c r="CC64" s="30"/>
      <c r="CD64" s="30"/>
      <c r="CE64" s="30"/>
      <c r="CF64" s="30"/>
      <c r="CG64" s="30"/>
      <c r="CH64" s="30"/>
      <c r="CI64" s="30"/>
      <c r="CJ64" s="30"/>
      <c r="CK64" s="30"/>
      <c r="CL64" s="30"/>
      <c r="CM64" s="30"/>
      <c r="CN64" s="30"/>
      <c r="CO64" s="30"/>
      <c r="CP64" s="30"/>
      <c r="CQ64" s="30"/>
      <c r="CR64" s="30"/>
      <c r="CS64" s="30"/>
      <c r="CT64" s="30"/>
      <c r="CU64" s="30"/>
      <c r="CV64" s="30"/>
      <c r="CW64" s="30"/>
      <c r="CX64" s="30"/>
      <c r="CY64" s="30"/>
      <c r="CZ64" s="30"/>
      <c r="DA64" s="30"/>
      <c r="DB64" s="30"/>
      <c r="DC64" s="30"/>
      <c r="DD64" s="30"/>
      <c r="DE64" s="30"/>
      <c r="DF64" s="30"/>
      <c r="DG64" s="30"/>
      <c r="DH64" s="30"/>
      <c r="DI64" s="30"/>
      <c r="DJ64" s="30"/>
    </row>
    <row r="65" spans="7:114">
      <c r="G65" s="21"/>
      <c r="H65" s="21"/>
      <c r="I65" s="21"/>
      <c r="J65" s="21"/>
      <c r="K65" s="30"/>
      <c r="L65" s="30"/>
      <c r="M65" s="30"/>
      <c r="N65" s="30"/>
      <c r="O65" s="30"/>
      <c r="P65" s="30"/>
      <c r="Q65" s="30"/>
      <c r="R65" s="30"/>
      <c r="S65" s="30"/>
      <c r="T65" s="30"/>
      <c r="U65" s="30"/>
      <c r="V65" s="30"/>
      <c r="W65" s="30"/>
      <c r="X65" s="30"/>
      <c r="Y65" s="30"/>
      <c r="Z65" s="30"/>
      <c r="AA65" s="30"/>
      <c r="AB65" s="30"/>
      <c r="AC65" s="30"/>
      <c r="AD65" s="30"/>
      <c r="AE65" s="30"/>
      <c r="AF65" s="30"/>
      <c r="AG65" s="30"/>
      <c r="AH65" s="30"/>
      <c r="AI65" s="30"/>
      <c r="AJ65" s="30"/>
      <c r="AK65" s="30"/>
      <c r="AL65" s="30"/>
      <c r="AM65" s="30"/>
      <c r="AN65" s="30"/>
      <c r="AO65" s="30"/>
      <c r="AP65" s="30"/>
      <c r="AQ65" s="30"/>
      <c r="AR65" s="30"/>
      <c r="AS65" s="30"/>
      <c r="AT65" s="30"/>
      <c r="AU65" s="30"/>
      <c r="AV65" s="30"/>
      <c r="AW65" s="30"/>
      <c r="AX65" s="30"/>
      <c r="AY65" s="30"/>
      <c r="AZ65" s="30"/>
      <c r="BA65" s="30"/>
      <c r="BB65" s="30"/>
      <c r="BC65" s="30"/>
      <c r="BD65" s="30"/>
      <c r="BE65" s="30"/>
      <c r="BF65" s="30"/>
      <c r="BG65" s="30"/>
      <c r="BH65" s="30"/>
      <c r="BI65" s="30"/>
      <c r="BJ65" s="30"/>
      <c r="BK65" s="30"/>
      <c r="BL65" s="30"/>
      <c r="BM65" s="30"/>
      <c r="BN65" s="30"/>
      <c r="BO65" s="30"/>
      <c r="BP65" s="30"/>
      <c r="BQ65" s="30"/>
      <c r="BR65" s="30"/>
      <c r="BS65" s="30"/>
      <c r="BT65" s="30"/>
      <c r="BU65" s="30"/>
      <c r="BV65" s="30"/>
      <c r="BW65" s="30"/>
      <c r="BX65" s="30"/>
      <c r="BY65" s="30"/>
      <c r="BZ65" s="30"/>
      <c r="CA65" s="30"/>
      <c r="CB65" s="30"/>
      <c r="CC65" s="30"/>
      <c r="CD65" s="30"/>
      <c r="CE65" s="30"/>
      <c r="CF65" s="30"/>
      <c r="CG65" s="30"/>
      <c r="CH65" s="30"/>
      <c r="CI65" s="30"/>
      <c r="CJ65" s="30"/>
      <c r="CK65" s="30"/>
      <c r="CL65" s="30"/>
      <c r="CM65" s="30"/>
      <c r="CN65" s="30"/>
      <c r="CO65" s="30"/>
      <c r="CP65" s="30"/>
      <c r="CQ65" s="30"/>
      <c r="CR65" s="30"/>
      <c r="CS65" s="30"/>
      <c r="CT65" s="30"/>
      <c r="CU65" s="30"/>
      <c r="CV65" s="30"/>
      <c r="CW65" s="30"/>
      <c r="CX65" s="30"/>
      <c r="CY65" s="30"/>
      <c r="CZ65" s="30"/>
      <c r="DA65" s="30"/>
      <c r="DB65" s="30"/>
      <c r="DC65" s="30"/>
      <c r="DD65" s="30"/>
      <c r="DE65" s="30"/>
      <c r="DF65" s="30"/>
      <c r="DG65" s="30"/>
      <c r="DH65" s="30"/>
      <c r="DI65" s="30"/>
      <c r="DJ65" s="30"/>
    </row>
    <row r="66" spans="7:114">
      <c r="G66" s="42"/>
      <c r="H66" s="42"/>
      <c r="I66" s="42"/>
      <c r="J66" s="42"/>
      <c r="K66" s="62"/>
      <c r="L66" s="62"/>
      <c r="M66" s="62"/>
      <c r="N66" s="62"/>
      <c r="O66" s="62"/>
      <c r="P66" s="62"/>
      <c r="Q66" s="62"/>
      <c r="R66" s="62"/>
      <c r="S66" s="62"/>
      <c r="T66" s="62"/>
      <c r="U66" s="62"/>
      <c r="V66" s="62"/>
      <c r="W66" s="62"/>
      <c r="X66" s="62"/>
      <c r="Y66" s="62"/>
      <c r="Z66" s="62"/>
      <c r="AA66" s="62"/>
      <c r="AB66" s="62"/>
      <c r="AC66" s="62"/>
      <c r="AD66" s="62"/>
      <c r="AE66" s="62"/>
      <c r="AF66" s="62"/>
      <c r="AG66" s="62"/>
      <c r="AH66" s="62"/>
      <c r="AI66" s="62"/>
      <c r="AJ66" s="62"/>
      <c r="AK66" s="62"/>
      <c r="AL66" s="62"/>
      <c r="AM66" s="62"/>
      <c r="AN66" s="62"/>
      <c r="AO66" s="62"/>
      <c r="AP66" s="62"/>
      <c r="AQ66" s="62"/>
      <c r="AR66" s="62"/>
      <c r="AS66" s="62"/>
      <c r="AT66" s="62"/>
      <c r="AU66" s="62"/>
      <c r="AV66" s="62"/>
      <c r="AW66" s="62"/>
      <c r="AX66" s="62"/>
      <c r="AY66" s="62"/>
      <c r="AZ66" s="62"/>
      <c r="BA66" s="62"/>
      <c r="BB66" s="62"/>
      <c r="BC66" s="62"/>
      <c r="BD66" s="62"/>
      <c r="BE66" s="62"/>
      <c r="BF66" s="62"/>
      <c r="BG66" s="62"/>
      <c r="BH66" s="62"/>
      <c r="BI66" s="62"/>
      <c r="BJ66" s="62"/>
      <c r="BK66" s="62"/>
      <c r="BL66" s="62"/>
      <c r="BM66" s="62"/>
      <c r="BN66" s="62"/>
      <c r="BO66" s="62"/>
      <c r="BP66" s="62"/>
      <c r="BQ66" s="62"/>
      <c r="BR66" s="62"/>
      <c r="BS66" s="62"/>
      <c r="BT66" s="62"/>
      <c r="BU66" s="62"/>
      <c r="BV66" s="62"/>
      <c r="BW66" s="62"/>
      <c r="BX66" s="62"/>
      <c r="BY66" s="62"/>
      <c r="BZ66" s="62"/>
      <c r="CA66" s="62"/>
      <c r="CB66" s="62"/>
      <c r="CC66" s="62"/>
      <c r="CD66" s="62"/>
      <c r="CE66" s="62"/>
      <c r="CF66" s="62"/>
      <c r="CG66" s="62"/>
      <c r="CH66" s="62"/>
      <c r="CI66" s="62"/>
      <c r="CJ66" s="62"/>
      <c r="CK66" s="62"/>
      <c r="CL66" s="62"/>
      <c r="CM66" s="62"/>
      <c r="CN66" s="62"/>
      <c r="CO66" s="62"/>
      <c r="CP66" s="62"/>
      <c r="CQ66" s="62"/>
      <c r="CR66" s="62"/>
      <c r="CS66" s="62"/>
      <c r="CT66" s="62"/>
      <c r="CU66" s="62"/>
      <c r="CV66" s="62"/>
      <c r="CW66" s="62"/>
      <c r="CX66" s="62"/>
      <c r="CY66" s="62"/>
      <c r="CZ66" s="62"/>
      <c r="DA66" s="62"/>
      <c r="DB66" s="62"/>
      <c r="DC66" s="62"/>
      <c r="DD66" s="62"/>
      <c r="DE66" s="62"/>
      <c r="DF66" s="62"/>
      <c r="DG66" s="62"/>
      <c r="DH66" s="62"/>
      <c r="DI66" s="62"/>
      <c r="DJ66" s="62"/>
    </row>
    <row r="67" spans="7:114">
      <c r="G67" s="21"/>
      <c r="H67" s="21"/>
      <c r="I67" s="21"/>
      <c r="J67" s="21"/>
      <c r="K67" s="30"/>
      <c r="L67" s="30"/>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c r="CK67" s="30"/>
      <c r="CL67" s="30"/>
      <c r="CM67" s="30"/>
      <c r="CN67" s="30"/>
      <c r="CO67" s="30"/>
      <c r="CP67" s="30"/>
      <c r="CQ67" s="30"/>
      <c r="CR67" s="30"/>
      <c r="CS67" s="30"/>
      <c r="CT67" s="30"/>
      <c r="CU67" s="30"/>
      <c r="CV67" s="30"/>
      <c r="CW67" s="30"/>
      <c r="CX67" s="30"/>
      <c r="CY67" s="30"/>
      <c r="CZ67" s="30"/>
      <c r="DA67" s="30"/>
      <c r="DB67" s="30"/>
      <c r="DC67" s="30"/>
      <c r="DD67" s="30"/>
      <c r="DE67" s="30"/>
      <c r="DF67" s="30"/>
      <c r="DG67" s="30"/>
      <c r="DH67" s="30"/>
      <c r="DI67" s="30"/>
      <c r="DJ67" s="30"/>
    </row>
    <row r="68" spans="7:114">
      <c r="G68" s="21"/>
      <c r="H68" s="21"/>
      <c r="I68" s="21"/>
      <c r="J68" s="21"/>
      <c r="K68" s="30"/>
      <c r="L68" s="30"/>
      <c r="M68" s="30"/>
      <c r="N68" s="30"/>
      <c r="O68" s="30"/>
      <c r="P68" s="30"/>
      <c r="Q68" s="30"/>
      <c r="R68" s="30"/>
      <c r="S68" s="30"/>
      <c r="T68" s="30"/>
      <c r="U68" s="30"/>
      <c r="V68" s="30"/>
      <c r="W68" s="30"/>
      <c r="X68" s="30"/>
      <c r="Y68" s="30"/>
      <c r="Z68" s="30"/>
      <c r="AA68" s="30"/>
      <c r="AB68" s="30"/>
      <c r="AC68" s="30"/>
      <c r="AD68" s="30"/>
      <c r="AE68" s="30"/>
      <c r="AF68" s="30"/>
      <c r="AG68" s="30"/>
      <c r="AH68" s="30"/>
      <c r="AI68" s="30"/>
      <c r="AJ68" s="30"/>
      <c r="AK68" s="30"/>
      <c r="AL68" s="30"/>
      <c r="AM68" s="30"/>
      <c r="AN68" s="30"/>
      <c r="AO68" s="30"/>
      <c r="AP68" s="30"/>
      <c r="AQ68" s="30"/>
      <c r="AR68" s="30"/>
      <c r="AS68" s="30"/>
      <c r="AT68" s="30"/>
      <c r="AU68" s="30"/>
      <c r="AV68" s="30"/>
      <c r="AW68" s="30"/>
      <c r="AX68" s="30"/>
      <c r="AY68" s="30"/>
      <c r="AZ68" s="30"/>
      <c r="BA68" s="30"/>
      <c r="BB68" s="30"/>
      <c r="BC68" s="30"/>
      <c r="BD68" s="30"/>
      <c r="BE68" s="30"/>
      <c r="BF68" s="30"/>
      <c r="BG68" s="30"/>
      <c r="BH68" s="30"/>
      <c r="BI68" s="30"/>
      <c r="BJ68" s="30"/>
      <c r="BK68" s="30"/>
      <c r="BL68" s="30"/>
      <c r="BM68" s="30"/>
      <c r="BN68" s="30"/>
      <c r="BO68" s="30"/>
      <c r="BP68" s="30"/>
      <c r="BQ68" s="30"/>
      <c r="BR68" s="30"/>
      <c r="BS68" s="30"/>
      <c r="BT68" s="30"/>
      <c r="BU68" s="30"/>
      <c r="BV68" s="30"/>
      <c r="BW68" s="30"/>
      <c r="BX68" s="30"/>
      <c r="BY68" s="30"/>
      <c r="BZ68" s="30"/>
      <c r="CA68" s="30"/>
      <c r="CB68" s="30"/>
      <c r="CC68" s="30"/>
      <c r="CD68" s="30"/>
      <c r="CE68" s="30"/>
      <c r="CF68" s="30"/>
      <c r="CG68" s="30"/>
      <c r="CH68" s="30"/>
      <c r="CI68" s="30"/>
      <c r="CJ68" s="30"/>
      <c r="CK68" s="30"/>
      <c r="CL68" s="30"/>
      <c r="CM68" s="30"/>
      <c r="CN68" s="30"/>
      <c r="CO68" s="30"/>
      <c r="CP68" s="30"/>
      <c r="CQ68" s="30"/>
      <c r="CR68" s="30"/>
      <c r="CS68" s="30"/>
      <c r="CT68" s="30"/>
      <c r="CU68" s="30"/>
      <c r="CV68" s="30"/>
      <c r="CW68" s="30"/>
      <c r="CX68" s="30"/>
      <c r="CY68" s="30"/>
      <c r="CZ68" s="30"/>
      <c r="DA68" s="30"/>
      <c r="DB68" s="30"/>
      <c r="DC68" s="30"/>
      <c r="DD68" s="30"/>
      <c r="DE68" s="30"/>
      <c r="DF68" s="30"/>
      <c r="DG68" s="30"/>
      <c r="DH68" s="30"/>
      <c r="DI68" s="30"/>
      <c r="DJ68" s="30"/>
    </row>
    <row r="69" spans="7:114">
      <c r="G69" s="21"/>
      <c r="H69" s="21"/>
      <c r="I69" s="21"/>
      <c r="J69" s="21"/>
      <c r="K69" s="30"/>
      <c r="L69" s="30"/>
      <c r="M69" s="30"/>
      <c r="N69" s="30"/>
      <c r="O69" s="30"/>
      <c r="P69" s="30"/>
      <c r="Q69" s="30"/>
      <c r="R69" s="30"/>
      <c r="S69" s="30"/>
      <c r="T69" s="30"/>
      <c r="U69" s="30"/>
      <c r="V69" s="30"/>
      <c r="W69" s="30"/>
      <c r="X69" s="30"/>
      <c r="Y69" s="30"/>
      <c r="Z69" s="30"/>
      <c r="AA69" s="30"/>
      <c r="AB69" s="30"/>
      <c r="AC69" s="30"/>
      <c r="AD69" s="30"/>
      <c r="AE69" s="30"/>
      <c r="AF69" s="30"/>
      <c r="AG69" s="30"/>
      <c r="AH69" s="30"/>
      <c r="AI69" s="30"/>
      <c r="AJ69" s="30"/>
      <c r="AK69" s="30"/>
      <c r="AL69" s="30"/>
      <c r="AM69" s="30"/>
      <c r="AN69" s="30"/>
      <c r="AO69" s="30"/>
      <c r="AP69" s="30"/>
      <c r="AQ69" s="30"/>
      <c r="AR69" s="30"/>
      <c r="AS69" s="30"/>
      <c r="AT69" s="30"/>
      <c r="AU69" s="30"/>
      <c r="AV69" s="30"/>
      <c r="AW69" s="30"/>
      <c r="AX69" s="30"/>
      <c r="AY69" s="30"/>
      <c r="AZ69" s="30"/>
      <c r="BA69" s="30"/>
      <c r="BB69" s="30"/>
      <c r="BC69" s="30"/>
      <c r="BD69" s="30"/>
      <c r="BE69" s="30"/>
      <c r="BF69" s="30"/>
      <c r="BG69" s="30"/>
      <c r="BH69" s="30"/>
      <c r="BI69" s="30"/>
      <c r="BJ69" s="30"/>
      <c r="BK69" s="30"/>
      <c r="BL69" s="30"/>
      <c r="BM69" s="30"/>
      <c r="BN69" s="30"/>
      <c r="BO69" s="30"/>
      <c r="BP69" s="30"/>
      <c r="BQ69" s="30"/>
      <c r="BR69" s="30"/>
      <c r="BS69" s="30"/>
      <c r="BT69" s="30"/>
      <c r="BU69" s="30"/>
      <c r="BV69" s="30"/>
      <c r="BW69" s="30"/>
      <c r="BX69" s="30"/>
      <c r="BY69" s="30"/>
      <c r="BZ69" s="30"/>
      <c r="CA69" s="30"/>
      <c r="CB69" s="30"/>
      <c r="CC69" s="30"/>
      <c r="CD69" s="30"/>
      <c r="CE69" s="30"/>
      <c r="CF69" s="30"/>
      <c r="CG69" s="30"/>
      <c r="CH69" s="30"/>
      <c r="CI69" s="30"/>
      <c r="CJ69" s="30"/>
      <c r="CK69" s="30"/>
      <c r="CL69" s="30"/>
      <c r="CM69" s="30"/>
      <c r="CN69" s="30"/>
      <c r="CO69" s="30"/>
      <c r="CP69" s="30"/>
      <c r="CQ69" s="30"/>
      <c r="CR69" s="30"/>
      <c r="CS69" s="30"/>
      <c r="CT69" s="30"/>
      <c r="CU69" s="30"/>
      <c r="CV69" s="30"/>
      <c r="CW69" s="30"/>
      <c r="CX69" s="30"/>
      <c r="CY69" s="30"/>
      <c r="CZ69" s="30"/>
      <c r="DA69" s="30"/>
      <c r="DB69" s="30"/>
      <c r="DC69" s="30"/>
      <c r="DD69" s="30"/>
      <c r="DE69" s="30"/>
      <c r="DF69" s="30"/>
      <c r="DG69" s="30"/>
      <c r="DH69" s="30"/>
      <c r="DI69" s="30"/>
      <c r="DJ69" s="30"/>
    </row>
    <row r="70" spans="7:114">
      <c r="G70" s="42"/>
      <c r="H70" s="42"/>
      <c r="I70" s="42"/>
      <c r="J70" s="42"/>
      <c r="K70" s="62"/>
      <c r="L70" s="62"/>
      <c r="M70" s="62"/>
      <c r="N70" s="62"/>
      <c r="O70" s="62"/>
      <c r="P70" s="62"/>
      <c r="Q70" s="62"/>
      <c r="R70" s="62"/>
      <c r="S70" s="62"/>
      <c r="T70" s="62"/>
      <c r="U70" s="62"/>
      <c r="V70" s="62"/>
      <c r="W70" s="62"/>
      <c r="X70" s="62"/>
      <c r="Y70" s="62"/>
      <c r="Z70" s="62"/>
      <c r="AA70" s="62"/>
      <c r="AB70" s="62"/>
      <c r="AC70" s="62"/>
      <c r="AD70" s="62"/>
      <c r="AE70" s="62"/>
      <c r="AF70" s="62"/>
      <c r="AG70" s="62"/>
      <c r="AH70" s="62"/>
      <c r="AI70" s="62"/>
      <c r="AJ70" s="62"/>
      <c r="AK70" s="62"/>
      <c r="AL70" s="62"/>
      <c r="AM70" s="62"/>
      <c r="AN70" s="62"/>
      <c r="AO70" s="62"/>
      <c r="AP70" s="62"/>
      <c r="AQ70" s="62"/>
      <c r="AR70" s="62"/>
      <c r="AS70" s="62"/>
      <c r="AT70" s="62"/>
      <c r="AU70" s="62"/>
      <c r="AV70" s="62"/>
      <c r="AW70" s="62"/>
      <c r="AX70" s="62"/>
      <c r="AY70" s="62"/>
      <c r="AZ70" s="62"/>
      <c r="BA70" s="62"/>
      <c r="BB70" s="62"/>
      <c r="BC70" s="62"/>
      <c r="BD70" s="62"/>
      <c r="BE70" s="62"/>
      <c r="BF70" s="62"/>
      <c r="BG70" s="62"/>
      <c r="BH70" s="62"/>
      <c r="BI70" s="62"/>
      <c r="BJ70" s="62"/>
      <c r="BK70" s="62"/>
      <c r="BL70" s="62"/>
      <c r="BM70" s="62"/>
      <c r="BN70" s="62"/>
      <c r="BO70" s="62"/>
      <c r="BP70" s="62"/>
      <c r="BQ70" s="62"/>
      <c r="BR70" s="62"/>
      <c r="BS70" s="62"/>
      <c r="BT70" s="62"/>
      <c r="BU70" s="62"/>
      <c r="BV70" s="62"/>
      <c r="BW70" s="62"/>
      <c r="BX70" s="62"/>
      <c r="BY70" s="62"/>
      <c r="BZ70" s="62"/>
      <c r="CA70" s="62"/>
      <c r="CB70" s="62"/>
      <c r="CC70" s="62"/>
      <c r="CD70" s="62"/>
      <c r="CE70" s="62"/>
      <c r="CF70" s="62"/>
      <c r="CG70" s="62"/>
      <c r="CH70" s="62"/>
      <c r="CI70" s="62"/>
      <c r="CJ70" s="62"/>
      <c r="CK70" s="62"/>
      <c r="CL70" s="62"/>
      <c r="CM70" s="62"/>
      <c r="CN70" s="62"/>
      <c r="CO70" s="62"/>
      <c r="CP70" s="62"/>
      <c r="CQ70" s="62"/>
      <c r="CR70" s="62"/>
      <c r="CS70" s="62"/>
      <c r="CT70" s="62"/>
      <c r="CU70" s="62"/>
      <c r="CV70" s="62"/>
      <c r="CW70" s="62"/>
      <c r="CX70" s="62"/>
      <c r="CY70" s="62"/>
      <c r="CZ70" s="62"/>
      <c r="DA70" s="62"/>
      <c r="DB70" s="62"/>
      <c r="DC70" s="62"/>
      <c r="DD70" s="62"/>
      <c r="DE70" s="62"/>
      <c r="DF70" s="62"/>
      <c r="DG70" s="62"/>
      <c r="DH70" s="62"/>
      <c r="DI70" s="62"/>
      <c r="DJ70" s="62"/>
    </row>
    <row r="71" spans="7:114">
      <c r="G71" s="21"/>
      <c r="H71" s="21"/>
      <c r="I71" s="21"/>
      <c r="J71" s="21"/>
      <c r="K71" s="30"/>
      <c r="L71" s="30"/>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c r="CK71" s="30"/>
      <c r="CL71" s="30"/>
      <c r="CM71" s="30"/>
      <c r="CN71" s="30"/>
      <c r="CO71" s="30"/>
      <c r="CP71" s="30"/>
      <c r="CQ71" s="30"/>
      <c r="CR71" s="30"/>
      <c r="CS71" s="30"/>
      <c r="CT71" s="30"/>
      <c r="CU71" s="30"/>
      <c r="CV71" s="30"/>
      <c r="CW71" s="30"/>
      <c r="CX71" s="30"/>
      <c r="CY71" s="30"/>
      <c r="CZ71" s="30"/>
      <c r="DA71" s="30"/>
      <c r="DB71" s="30"/>
      <c r="DC71" s="30"/>
      <c r="DD71" s="30"/>
      <c r="DE71" s="30"/>
      <c r="DF71" s="30"/>
      <c r="DG71" s="30"/>
      <c r="DH71" s="30"/>
      <c r="DI71" s="30"/>
      <c r="DJ71" s="30"/>
    </row>
    <row r="72" spans="7:114">
      <c r="G72" s="21"/>
      <c r="H72" s="21"/>
      <c r="I72" s="21"/>
      <c r="J72" s="21"/>
      <c r="K72" s="30"/>
      <c r="L72" s="30"/>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row>
    <row r="73" spans="7:114">
      <c r="G73" s="21"/>
      <c r="H73" s="21"/>
      <c r="I73" s="21"/>
      <c r="J73" s="21"/>
      <c r="K73" s="59"/>
      <c r="L73" s="59"/>
      <c r="M73" s="59"/>
      <c r="N73" s="59"/>
      <c r="O73" s="59"/>
      <c r="P73" s="59"/>
      <c r="Q73" s="59"/>
      <c r="R73" s="59"/>
      <c r="S73" s="59"/>
      <c r="T73" s="59"/>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c r="BB73" s="59"/>
      <c r="BC73" s="59"/>
      <c r="BD73" s="59"/>
      <c r="BE73" s="59"/>
      <c r="BF73" s="59"/>
      <c r="BG73" s="59"/>
      <c r="BH73" s="59"/>
      <c r="BI73" s="59"/>
      <c r="BJ73" s="59"/>
    </row>
  </sheetData>
  <mergeCells count="8">
    <mergeCell ref="A4:J4"/>
    <mergeCell ref="A1:J1"/>
    <mergeCell ref="K1:P1"/>
    <mergeCell ref="Q1:V1"/>
    <mergeCell ref="A2:I2"/>
    <mergeCell ref="J2:K2"/>
    <mergeCell ref="A3:J3"/>
    <mergeCell ref="K3:V3"/>
  </mergeCells>
  <pageMargins left="0.7" right="0.7" top="0.75" bottom="0.75" header="0.3" footer="0.3"/>
  <pageSetup orientation="portrait" horizontalDpi="300" r:id="rId1"/>
  <customProperties>
    <customPr name="FPMExcelClientRefreshTime" r:id="rId2"/>
  </customProperties>
  <drawing r:id="rId3"/>
  <legacyDrawing r:id="rId4"/>
  <picture r:id="rId5"/>
  <controls>
    <mc:AlternateContent xmlns:mc="http://schemas.openxmlformats.org/markup-compatibility/2006">
      <mc:Choice Requires="x14">
        <control shapeId="20481" r:id="rId64" name="FPMExcelClientSheetOptionstb1">
          <controlPr defaultSize="0" autoLine="0" r:id="rId65">
            <anchor moveWithCells="1" sizeWithCells="1">
              <from>
                <xdr:col>0</xdr:col>
                <xdr:colOff>0</xdr:colOff>
                <xdr:row>0</xdr:row>
                <xdr:rowOff>0</xdr:rowOff>
              </from>
              <to>
                <xdr:col>0</xdr:col>
                <xdr:colOff>0</xdr:colOff>
                <xdr:row>0</xdr:row>
                <xdr:rowOff>0</xdr:rowOff>
              </to>
            </anchor>
          </controlPr>
        </control>
      </mc:Choice>
      <mc:Fallback>
        <control shapeId="20481" r:id="rId64" name="FPMExcelClientSheetOptionstb1"/>
      </mc:Fallback>
    </mc:AlternateContent>
    <mc:AlternateContent xmlns:mc="http://schemas.openxmlformats.org/markup-compatibility/2006">
      <mc:Choice Requires="x14">
        <control shapeId="20482" r:id="rId62" name="CommandButton1">
          <controlPr defaultSize="0" autoLine="0" altText="Refresh Chart" r:id="rId63">
            <anchor>
              <from>
                <xdr:col>0</xdr:col>
                <xdr:colOff>38100</xdr:colOff>
                <xdr:row>3</xdr:row>
                <xdr:rowOff>28575</xdr:rowOff>
              </from>
              <to>
                <xdr:col>2</xdr:col>
                <xdr:colOff>76200</xdr:colOff>
                <xdr:row>3</xdr:row>
                <xdr:rowOff>257175</xdr:rowOff>
              </to>
            </anchor>
          </controlPr>
        </control>
      </mc:Choice>
      <mc:Fallback>
        <control shapeId="20482" r:id="rId62" name="CommandButton1"/>
      </mc:Fallback>
    </mc:AlternateContent>
    <mc:AlternateContent xmlns:mc="http://schemas.openxmlformats.org/markup-compatibility/2006">
      <mc:Choice Requires="x14">
        <control shapeId="20483" r:id="rId60" name="Label1">
          <controlPr defaultSize="0" autoLine="0" r:id="rId61">
            <anchor>
              <from>
                <xdr:col>3</xdr:col>
                <xdr:colOff>28575</xdr:colOff>
                <xdr:row>3</xdr:row>
                <xdr:rowOff>38100</xdr:rowOff>
              </from>
              <to>
                <xdr:col>6</xdr:col>
                <xdr:colOff>381000</xdr:colOff>
                <xdr:row>3</xdr:row>
                <xdr:rowOff>266700</xdr:rowOff>
              </to>
            </anchor>
          </controlPr>
        </control>
      </mc:Choice>
      <mc:Fallback>
        <control shapeId="20483" r:id="rId60" name="Label1"/>
      </mc:Fallback>
    </mc:AlternateContent>
    <mc:AlternateContent xmlns:mc="http://schemas.openxmlformats.org/markup-compatibility/2006">
      <mc:Choice Requires="x14">
        <control shapeId="20484" r:id="rId59" name="CommandButton2">
          <controlPr defaultSize="0" autoLine="0" r:id="rId55">
            <anchor>
              <from>
                <xdr:col>0</xdr:col>
                <xdr:colOff>38100</xdr:colOff>
                <xdr:row>3</xdr:row>
                <xdr:rowOff>514350</xdr:rowOff>
              </from>
              <to>
                <xdr:col>2</xdr:col>
                <xdr:colOff>76200</xdr:colOff>
                <xdr:row>3</xdr:row>
                <xdr:rowOff>742950</xdr:rowOff>
              </to>
            </anchor>
          </controlPr>
        </control>
      </mc:Choice>
      <mc:Fallback>
        <control shapeId="20484" r:id="rId59" name="CommandButton2"/>
      </mc:Fallback>
    </mc:AlternateContent>
    <mc:AlternateContent xmlns:mc="http://schemas.openxmlformats.org/markup-compatibility/2006">
      <mc:Choice Requires="x14">
        <control shapeId="20485" r:id="rId58" name="CommandButton3">
          <controlPr defaultSize="0" autoLine="0" r:id="rId53">
            <anchor>
              <from>
                <xdr:col>3</xdr:col>
                <xdr:colOff>9525</xdr:colOff>
                <xdr:row>3</xdr:row>
                <xdr:rowOff>514350</xdr:rowOff>
              </from>
              <to>
                <xdr:col>5</xdr:col>
                <xdr:colOff>47625</xdr:colOff>
                <xdr:row>3</xdr:row>
                <xdr:rowOff>742950</xdr:rowOff>
              </to>
            </anchor>
          </controlPr>
        </control>
      </mc:Choice>
      <mc:Fallback>
        <control shapeId="20485" r:id="rId58" name="CommandButton3"/>
      </mc:Fallback>
    </mc:AlternateContent>
    <mc:AlternateContent xmlns:mc="http://schemas.openxmlformats.org/markup-compatibility/2006">
      <mc:Choice Requires="x14">
        <control shapeId="20486" r:id="rId56" name="Label2">
          <controlPr defaultSize="0" autoLine="0" r:id="rId57">
            <anchor>
              <from>
                <xdr:col>5</xdr:col>
                <xdr:colOff>85725</xdr:colOff>
                <xdr:row>3</xdr:row>
                <xdr:rowOff>552450</xdr:rowOff>
              </from>
              <to>
                <xdr:col>6</xdr:col>
                <xdr:colOff>628650</xdr:colOff>
                <xdr:row>3</xdr:row>
                <xdr:rowOff>714375</xdr:rowOff>
              </to>
            </anchor>
          </controlPr>
        </control>
      </mc:Choice>
      <mc:Fallback>
        <control shapeId="20486" r:id="rId56" name="Label2"/>
      </mc:Fallback>
    </mc:AlternateContent>
    <mc:AlternateContent xmlns:mc="http://schemas.openxmlformats.org/markup-compatibility/2006">
      <mc:Choice Requires="x14">
        <control shapeId="20487" r:id="rId54" name="CommandButton4">
          <controlPr defaultSize="0" autoLine="0" r:id="rId55">
            <anchor>
              <from>
                <xdr:col>8</xdr:col>
                <xdr:colOff>590550</xdr:colOff>
                <xdr:row>3</xdr:row>
                <xdr:rowOff>514350</xdr:rowOff>
              </from>
              <to>
                <xdr:col>9</xdr:col>
                <xdr:colOff>28575</xdr:colOff>
                <xdr:row>3</xdr:row>
                <xdr:rowOff>742950</xdr:rowOff>
              </to>
            </anchor>
          </controlPr>
        </control>
      </mc:Choice>
      <mc:Fallback>
        <control shapeId="20487" r:id="rId54" name="CommandButton4"/>
      </mc:Fallback>
    </mc:AlternateContent>
    <mc:AlternateContent xmlns:mc="http://schemas.openxmlformats.org/markup-compatibility/2006">
      <mc:Choice Requires="x14">
        <control shapeId="20488" r:id="rId52" name="CommandButton5">
          <controlPr defaultSize="0" autoLine="0" r:id="rId53">
            <anchor>
              <from>
                <xdr:col>9</xdr:col>
                <xdr:colOff>57150</xdr:colOff>
                <xdr:row>3</xdr:row>
                <xdr:rowOff>514350</xdr:rowOff>
              </from>
              <to>
                <xdr:col>9</xdr:col>
                <xdr:colOff>285750</xdr:colOff>
                <xdr:row>3</xdr:row>
                <xdr:rowOff>742950</xdr:rowOff>
              </to>
            </anchor>
          </controlPr>
        </control>
      </mc:Choice>
      <mc:Fallback>
        <control shapeId="20488" r:id="rId52" name="CommandButton5"/>
      </mc:Fallback>
    </mc:AlternateContent>
    <mc:AlternateContent xmlns:mc="http://schemas.openxmlformats.org/markup-compatibility/2006">
      <mc:Choice Requires="x14">
        <control shapeId="20489" r:id="rId50" name="Label3">
          <controlPr defaultSize="0" autoLine="0" r:id="rId51">
            <anchor>
              <from>
                <xdr:col>9</xdr:col>
                <xdr:colOff>323850</xdr:colOff>
                <xdr:row>3</xdr:row>
                <xdr:rowOff>552450</xdr:rowOff>
              </from>
              <to>
                <xdr:col>9</xdr:col>
                <xdr:colOff>962025</xdr:colOff>
                <xdr:row>3</xdr:row>
                <xdr:rowOff>714375</xdr:rowOff>
              </to>
            </anchor>
          </controlPr>
        </control>
      </mc:Choice>
      <mc:Fallback>
        <control shapeId="20489" r:id="rId50" name="Label3"/>
      </mc:Fallback>
    </mc:AlternateContent>
    <mc:AlternateContent xmlns:mc="http://schemas.openxmlformats.org/markup-compatibility/2006">
      <mc:Choice Requires="x14">
        <control shapeId="20490" r:id="rId48" name="CommandButton7">
          <controlPr defaultSize="0" autoLine="0" autoPict="0" r:id="rId49">
            <anchor>
              <from>
                <xdr:col>0</xdr:col>
                <xdr:colOff>38100</xdr:colOff>
                <xdr:row>2</xdr:row>
                <xdr:rowOff>66675</xdr:rowOff>
              </from>
              <to>
                <xdr:col>2</xdr:col>
                <xdr:colOff>76200</xdr:colOff>
                <xdr:row>2</xdr:row>
                <xdr:rowOff>238125</xdr:rowOff>
              </to>
            </anchor>
          </controlPr>
        </control>
      </mc:Choice>
      <mc:Fallback>
        <control shapeId="20490" r:id="rId48" name="CommandButton7"/>
      </mc:Fallback>
    </mc:AlternateContent>
    <mc:AlternateContent xmlns:mc="http://schemas.openxmlformats.org/markup-compatibility/2006">
      <mc:Choice Requires="x14">
        <control shapeId="20491" r:id="rId46" name="CommandButton6">
          <controlPr defaultSize="0" autoLine="0" r:id="rId47">
            <anchor>
              <from>
                <xdr:col>0</xdr:col>
                <xdr:colOff>38100</xdr:colOff>
                <xdr:row>2</xdr:row>
                <xdr:rowOff>66675</xdr:rowOff>
              </from>
              <to>
                <xdr:col>2</xdr:col>
                <xdr:colOff>76200</xdr:colOff>
                <xdr:row>2</xdr:row>
                <xdr:rowOff>295275</xdr:rowOff>
              </to>
            </anchor>
          </controlPr>
        </control>
      </mc:Choice>
      <mc:Fallback>
        <control shapeId="20491" r:id="rId46" name="CommandButton6"/>
      </mc:Fallback>
    </mc:AlternateContent>
    <mc:AlternateContent xmlns:mc="http://schemas.openxmlformats.org/markup-compatibility/2006">
      <mc:Choice Requires="x14">
        <control shapeId="20492" r:id="rId44" name="ListBox1">
          <controlPr defaultSize="0" autoLine="0" r:id="rId45">
            <anchor>
              <from>
                <xdr:col>0</xdr:col>
                <xdr:colOff>38100</xdr:colOff>
                <xdr:row>3</xdr:row>
                <xdr:rowOff>771525</xdr:rowOff>
              </from>
              <to>
                <xdr:col>8</xdr:col>
                <xdr:colOff>209550</xdr:colOff>
                <xdr:row>3</xdr:row>
                <xdr:rowOff>1943100</xdr:rowOff>
              </to>
            </anchor>
          </controlPr>
        </control>
      </mc:Choice>
      <mc:Fallback>
        <control shapeId="20492" r:id="rId44" name="ListBox1"/>
      </mc:Fallback>
    </mc:AlternateContent>
    <mc:AlternateContent xmlns:mc="http://schemas.openxmlformats.org/markup-compatibility/2006">
      <mc:Choice Requires="x14">
        <control shapeId="20493" r:id="rId42" name="ListBox2">
          <controlPr defaultSize="0" autoLine="0" r:id="rId43">
            <anchor>
              <from>
                <xdr:col>8</xdr:col>
                <xdr:colOff>590550</xdr:colOff>
                <xdr:row>3</xdr:row>
                <xdr:rowOff>771525</xdr:rowOff>
              </from>
              <to>
                <xdr:col>9</xdr:col>
                <xdr:colOff>685800</xdr:colOff>
                <xdr:row>3</xdr:row>
                <xdr:rowOff>1085850</xdr:rowOff>
              </to>
            </anchor>
          </controlPr>
        </control>
      </mc:Choice>
      <mc:Fallback>
        <control shapeId="20493" r:id="rId42" name="ListBox2"/>
      </mc:Fallback>
    </mc:AlternateContent>
    <mc:AlternateContent xmlns:mc="http://schemas.openxmlformats.org/markup-compatibility/2006">
      <mc:Choice Requires="x14">
        <control shapeId="20494" r:id="rId40" name="CheckBox1">
          <controlPr defaultSize="0" autoLine="0" r:id="rId41">
            <anchor>
              <from>
                <xdr:col>8</xdr:col>
                <xdr:colOff>390525</xdr:colOff>
                <xdr:row>3</xdr:row>
                <xdr:rowOff>28575</xdr:rowOff>
              </from>
              <to>
                <xdr:col>9</xdr:col>
                <xdr:colOff>295275</xdr:colOff>
                <xdr:row>3</xdr:row>
                <xdr:rowOff>295275</xdr:rowOff>
              </to>
            </anchor>
          </controlPr>
        </control>
      </mc:Choice>
      <mc:Fallback>
        <control shapeId="20494" r:id="rId40" name="CheckBox1"/>
      </mc:Fallback>
    </mc:AlternateContent>
    <mc:AlternateContent xmlns:mc="http://schemas.openxmlformats.org/markup-compatibility/2006">
      <mc:Choice Requires="x14">
        <control shapeId="20495" r:id="rId38" name="CheckBox2">
          <controlPr defaultSize="0" autoLine="0" r:id="rId39">
            <anchor>
              <from>
                <xdr:col>6</xdr:col>
                <xdr:colOff>381000</xdr:colOff>
                <xdr:row>3</xdr:row>
                <xdr:rowOff>28575</xdr:rowOff>
              </from>
              <to>
                <xdr:col>8</xdr:col>
                <xdr:colOff>390525</xdr:colOff>
                <xdr:row>3</xdr:row>
                <xdr:rowOff>295275</xdr:rowOff>
              </to>
            </anchor>
          </controlPr>
        </control>
      </mc:Choice>
      <mc:Fallback>
        <control shapeId="20495" r:id="rId38" name="CheckBox2"/>
      </mc:Fallback>
    </mc:AlternateContent>
    <mc:AlternateContent xmlns:mc="http://schemas.openxmlformats.org/markup-compatibility/2006">
      <mc:Choice Requires="x14">
        <control shapeId="20496" r:id="rId36" name="CheckBox3">
          <controlPr defaultSize="0" autoLine="0" r:id="rId37">
            <anchor>
              <from>
                <xdr:col>6</xdr:col>
                <xdr:colOff>381000</xdr:colOff>
                <xdr:row>3</xdr:row>
                <xdr:rowOff>219075</xdr:rowOff>
              </from>
              <to>
                <xdr:col>8</xdr:col>
                <xdr:colOff>390525</xdr:colOff>
                <xdr:row>3</xdr:row>
                <xdr:rowOff>485775</xdr:rowOff>
              </to>
            </anchor>
          </controlPr>
        </control>
      </mc:Choice>
      <mc:Fallback>
        <control shapeId="20496" r:id="rId36" name="CheckBox3"/>
      </mc:Fallback>
    </mc:AlternateContent>
    <mc:AlternateContent xmlns:mc="http://schemas.openxmlformats.org/markup-compatibility/2006">
      <mc:Choice Requires="x14">
        <control shapeId="20497" r:id="rId34" name="AnalyzerDynReport000tb1">
          <controlPr defaultSize="0" autoLine="0" autoPict="0" r:id="rId35">
            <anchor moveWithCells="1" sizeWithCells="1">
              <from>
                <xdr:col>0</xdr:col>
                <xdr:colOff>0</xdr:colOff>
                <xdr:row>0</xdr:row>
                <xdr:rowOff>0</xdr:rowOff>
              </from>
              <to>
                <xdr:col>8</xdr:col>
                <xdr:colOff>76200</xdr:colOff>
                <xdr:row>0</xdr:row>
                <xdr:rowOff>0</xdr:rowOff>
              </to>
            </anchor>
          </controlPr>
        </control>
      </mc:Choice>
      <mc:Fallback>
        <control shapeId="20497" r:id="rId34" name="AnalyzerDynReport000tb1"/>
      </mc:Fallback>
    </mc:AlternateContent>
    <mc:AlternateContent xmlns:mc="http://schemas.openxmlformats.org/markup-compatibility/2006">
      <mc:Choice Requires="x14">
        <control shapeId="20498" r:id="rId32" name="ConnectionDescriptorsInfotb1">
          <controlPr defaultSize="0" autoLine="0" autoPict="0" r:id="rId33">
            <anchor moveWithCells="1" sizeWithCells="1">
              <from>
                <xdr:col>0</xdr:col>
                <xdr:colOff>0</xdr:colOff>
                <xdr:row>0</xdr:row>
                <xdr:rowOff>0</xdr:rowOff>
              </from>
              <to>
                <xdr:col>8</xdr:col>
                <xdr:colOff>76200</xdr:colOff>
                <xdr:row>0</xdr:row>
                <xdr:rowOff>0</xdr:rowOff>
              </to>
            </anchor>
          </controlPr>
        </control>
      </mc:Choice>
      <mc:Fallback>
        <control shapeId="20498" r:id="rId32" name="ConnectionDescriptorsInfotb1"/>
      </mc:Fallback>
    </mc:AlternateContent>
    <mc:AlternateContent xmlns:mc="http://schemas.openxmlformats.org/markup-compatibility/2006">
      <mc:Choice Requires="x14">
        <control shapeId="20499" r:id="rId30" name="MultipleReportManagerInfotb1">
          <controlPr defaultSize="0" autoLine="0" autoPict="0" r:id="rId31">
            <anchor moveWithCells="1" sizeWithCells="1">
              <from>
                <xdr:col>0</xdr:col>
                <xdr:colOff>0</xdr:colOff>
                <xdr:row>0</xdr:row>
                <xdr:rowOff>0</xdr:rowOff>
              </from>
              <to>
                <xdr:col>8</xdr:col>
                <xdr:colOff>76200</xdr:colOff>
                <xdr:row>0</xdr:row>
                <xdr:rowOff>0</xdr:rowOff>
              </to>
            </anchor>
          </controlPr>
        </control>
      </mc:Choice>
      <mc:Fallback>
        <control shapeId="20499" r:id="rId30" name="MultipleReportManagerInfotb1"/>
      </mc:Fallback>
    </mc:AlternateContent>
    <mc:AlternateContent xmlns:mc="http://schemas.openxmlformats.org/markup-compatibility/2006">
      <mc:Choice Requires="x14">
        <control shapeId="20500" r:id="rId28" name="ReportSubmitManagerControltb1">
          <controlPr defaultSize="0" autoLine="0" autoPict="0" r:id="rId29">
            <anchor moveWithCells="1" sizeWithCells="1">
              <from>
                <xdr:col>0</xdr:col>
                <xdr:colOff>0</xdr:colOff>
                <xdr:row>0</xdr:row>
                <xdr:rowOff>0</xdr:rowOff>
              </from>
              <to>
                <xdr:col>8</xdr:col>
                <xdr:colOff>76200</xdr:colOff>
                <xdr:row>0</xdr:row>
                <xdr:rowOff>0</xdr:rowOff>
              </to>
            </anchor>
          </controlPr>
        </control>
      </mc:Choice>
      <mc:Fallback>
        <control shapeId="20500" r:id="rId28" name="ReportSubmitManagerControltb1"/>
      </mc:Fallback>
    </mc:AlternateContent>
    <mc:AlternateContent xmlns:mc="http://schemas.openxmlformats.org/markup-compatibility/2006">
      <mc:Choice Requires="x14">
        <control shapeId="20501" r:id="rId26" name="ReportSubmitControl_1tb1">
          <controlPr defaultSize="0" autoLine="0" autoPict="0" r:id="rId27">
            <anchor moveWithCells="1" sizeWithCells="1">
              <from>
                <xdr:col>0</xdr:col>
                <xdr:colOff>0</xdr:colOff>
                <xdr:row>0</xdr:row>
                <xdr:rowOff>0</xdr:rowOff>
              </from>
              <to>
                <xdr:col>8</xdr:col>
                <xdr:colOff>76200</xdr:colOff>
                <xdr:row>0</xdr:row>
                <xdr:rowOff>0</xdr:rowOff>
              </to>
            </anchor>
          </controlPr>
        </control>
      </mc:Choice>
      <mc:Fallback>
        <control shapeId="20501" r:id="rId26" name="ReportSubmitControl_1tb1"/>
      </mc:Fallback>
    </mc:AlternateContent>
    <mc:AlternateContent xmlns:mc="http://schemas.openxmlformats.org/markup-compatibility/2006">
      <mc:Choice Requires="x14">
        <control shapeId="20502" r:id="rId24" name="MultipleReportManagerInfoHCtb1">
          <controlPr defaultSize="0" autoLine="0" autoPict="0" r:id="rId25">
            <anchor moveWithCells="1">
              <from>
                <xdr:col>0</xdr:col>
                <xdr:colOff>0</xdr:colOff>
                <xdr:row>0</xdr:row>
                <xdr:rowOff>0</xdr:rowOff>
              </from>
              <to>
                <xdr:col>6</xdr:col>
                <xdr:colOff>390525</xdr:colOff>
                <xdr:row>0</xdr:row>
                <xdr:rowOff>0</xdr:rowOff>
              </to>
            </anchor>
          </controlPr>
        </control>
      </mc:Choice>
      <mc:Fallback>
        <control shapeId="20502" r:id="rId24" name="MultipleReportManagerInfoHCtb1"/>
      </mc:Fallback>
    </mc:AlternateContent>
    <mc:AlternateContent xmlns:mc="http://schemas.openxmlformats.org/markup-compatibility/2006">
      <mc:Choice Requires="x14">
        <control shapeId="20503" r:id="rId22" name="MultipleReportManagerInfoDCtb1">
          <controlPr defaultSize="0" autoLine="0" autoPict="0" r:id="rId23">
            <anchor moveWithCells="1">
              <from>
                <xdr:col>0</xdr:col>
                <xdr:colOff>0</xdr:colOff>
                <xdr:row>0</xdr:row>
                <xdr:rowOff>0</xdr:rowOff>
              </from>
              <to>
                <xdr:col>6</xdr:col>
                <xdr:colOff>390525</xdr:colOff>
                <xdr:row>0</xdr:row>
                <xdr:rowOff>0</xdr:rowOff>
              </to>
            </anchor>
          </controlPr>
        </control>
      </mc:Choice>
      <mc:Fallback>
        <control shapeId="20503" r:id="rId22" name="MultipleReportManagerInfoDCtb1"/>
      </mc:Fallback>
    </mc:AlternateContent>
    <mc:AlternateContent xmlns:mc="http://schemas.openxmlformats.org/markup-compatibility/2006">
      <mc:Choice Requires="x14">
        <control shapeId="20504" r:id="rId20" name="ConnectionDescriptorsInfoHCtb1">
          <controlPr defaultSize="0" autoLine="0" autoPict="0" r:id="rId21">
            <anchor moveWithCells="1">
              <from>
                <xdr:col>0</xdr:col>
                <xdr:colOff>0</xdr:colOff>
                <xdr:row>0</xdr:row>
                <xdr:rowOff>0</xdr:rowOff>
              </from>
              <to>
                <xdr:col>6</xdr:col>
                <xdr:colOff>390525</xdr:colOff>
                <xdr:row>0</xdr:row>
                <xdr:rowOff>0</xdr:rowOff>
              </to>
            </anchor>
          </controlPr>
        </control>
      </mc:Choice>
      <mc:Fallback>
        <control shapeId="20504" r:id="rId20" name="ConnectionDescriptorsInfoHCtb1"/>
      </mc:Fallback>
    </mc:AlternateContent>
    <mc:AlternateContent xmlns:mc="http://schemas.openxmlformats.org/markup-compatibility/2006">
      <mc:Choice Requires="x14">
        <control shapeId="20505" r:id="rId18" name="ConnectionDescriptorsInfoDCtb1">
          <controlPr defaultSize="0" autoLine="0" autoPict="0" r:id="rId19">
            <anchor moveWithCells="1">
              <from>
                <xdr:col>0</xdr:col>
                <xdr:colOff>0</xdr:colOff>
                <xdr:row>0</xdr:row>
                <xdr:rowOff>0</xdr:rowOff>
              </from>
              <to>
                <xdr:col>6</xdr:col>
                <xdr:colOff>390525</xdr:colOff>
                <xdr:row>0</xdr:row>
                <xdr:rowOff>0</xdr:rowOff>
              </to>
            </anchor>
          </controlPr>
        </control>
      </mc:Choice>
      <mc:Fallback>
        <control shapeId="20505" r:id="rId18" name="ConnectionDescriptorsInfoDCtb1"/>
      </mc:Fallback>
    </mc:AlternateContent>
    <mc:AlternateContent xmlns:mc="http://schemas.openxmlformats.org/markup-compatibility/2006">
      <mc:Choice Requires="x14">
        <control shapeId="20506" r:id="rId16" name="ReportSubmitManagerControlHCtb1">
          <controlPr defaultSize="0" autoLine="0" autoPict="0" r:id="rId17">
            <anchor moveWithCells="1">
              <from>
                <xdr:col>0</xdr:col>
                <xdr:colOff>0</xdr:colOff>
                <xdr:row>0</xdr:row>
                <xdr:rowOff>0</xdr:rowOff>
              </from>
              <to>
                <xdr:col>6</xdr:col>
                <xdr:colOff>419100</xdr:colOff>
                <xdr:row>0</xdr:row>
                <xdr:rowOff>0</xdr:rowOff>
              </to>
            </anchor>
          </controlPr>
        </control>
      </mc:Choice>
      <mc:Fallback>
        <control shapeId="20506" r:id="rId16" name="ReportSubmitManagerControlHCtb1"/>
      </mc:Fallback>
    </mc:AlternateContent>
    <mc:AlternateContent xmlns:mc="http://schemas.openxmlformats.org/markup-compatibility/2006">
      <mc:Choice Requires="x14">
        <control shapeId="20507" r:id="rId14" name="ReportSubmitManagerControlDCtb1">
          <controlPr defaultSize="0" autoLine="0" autoPict="0" r:id="rId15">
            <anchor moveWithCells="1">
              <from>
                <xdr:col>0</xdr:col>
                <xdr:colOff>0</xdr:colOff>
                <xdr:row>0</xdr:row>
                <xdr:rowOff>0</xdr:rowOff>
              </from>
              <to>
                <xdr:col>6</xdr:col>
                <xdr:colOff>419100</xdr:colOff>
                <xdr:row>0</xdr:row>
                <xdr:rowOff>0</xdr:rowOff>
              </to>
            </anchor>
          </controlPr>
        </control>
      </mc:Choice>
      <mc:Fallback>
        <control shapeId="20507" r:id="rId14" name="ReportSubmitManagerControlDCtb1"/>
      </mc:Fallback>
    </mc:AlternateContent>
    <mc:AlternateContent xmlns:mc="http://schemas.openxmlformats.org/markup-compatibility/2006">
      <mc:Choice Requires="x14">
        <control shapeId="20508" r:id="rId12" name="ReportSubmitControl_1HCtb1">
          <controlPr defaultSize="0" autoLine="0" autoPict="0" r:id="rId13">
            <anchor moveWithCells="1">
              <from>
                <xdr:col>0</xdr:col>
                <xdr:colOff>0</xdr:colOff>
                <xdr:row>0</xdr:row>
                <xdr:rowOff>0</xdr:rowOff>
              </from>
              <to>
                <xdr:col>6</xdr:col>
                <xdr:colOff>419100</xdr:colOff>
                <xdr:row>0</xdr:row>
                <xdr:rowOff>0</xdr:rowOff>
              </to>
            </anchor>
          </controlPr>
        </control>
      </mc:Choice>
      <mc:Fallback>
        <control shapeId="20508" r:id="rId12" name="ReportSubmitControl_1HCtb1"/>
      </mc:Fallback>
    </mc:AlternateContent>
    <mc:AlternateContent xmlns:mc="http://schemas.openxmlformats.org/markup-compatibility/2006">
      <mc:Choice Requires="x14">
        <control shapeId="20509" r:id="rId10" name="ReportSubmitControl_1DCtb1">
          <controlPr defaultSize="0" autoLine="0" autoPict="0" r:id="rId11">
            <anchor moveWithCells="1">
              <from>
                <xdr:col>0</xdr:col>
                <xdr:colOff>0</xdr:colOff>
                <xdr:row>0</xdr:row>
                <xdr:rowOff>0</xdr:rowOff>
              </from>
              <to>
                <xdr:col>6</xdr:col>
                <xdr:colOff>419100</xdr:colOff>
                <xdr:row>0</xdr:row>
                <xdr:rowOff>0</xdr:rowOff>
              </to>
            </anchor>
          </controlPr>
        </control>
      </mc:Choice>
      <mc:Fallback>
        <control shapeId="20509" r:id="rId10" name="ReportSubmitControl_1DCtb1"/>
      </mc:Fallback>
    </mc:AlternateContent>
    <mc:AlternateContent xmlns:mc="http://schemas.openxmlformats.org/markup-compatibility/2006">
      <mc:Choice Requires="x14">
        <control shapeId="20510" r:id="rId8" name="AnalyzerDynReportHC000tb1">
          <controlPr defaultSize="0" autoLine="0" autoPict="0" r:id="rId9">
            <anchor moveWithCells="1">
              <from>
                <xdr:col>0</xdr:col>
                <xdr:colOff>0</xdr:colOff>
                <xdr:row>0</xdr:row>
                <xdr:rowOff>0</xdr:rowOff>
              </from>
              <to>
                <xdr:col>6</xdr:col>
                <xdr:colOff>419100</xdr:colOff>
                <xdr:row>0</xdr:row>
                <xdr:rowOff>0</xdr:rowOff>
              </to>
            </anchor>
          </controlPr>
        </control>
      </mc:Choice>
      <mc:Fallback>
        <control shapeId="20510" r:id="rId8" name="AnalyzerDynReportHC000tb1"/>
      </mc:Fallback>
    </mc:AlternateContent>
    <mc:AlternateContent xmlns:mc="http://schemas.openxmlformats.org/markup-compatibility/2006">
      <mc:Choice Requires="x14">
        <control shapeId="20511" r:id="rId6" name="AnalyzerDynReportDC000tb1">
          <controlPr defaultSize="0" autoLine="0" autoPict="0" r:id="rId7">
            <anchor moveWithCells="1">
              <from>
                <xdr:col>0</xdr:col>
                <xdr:colOff>0</xdr:colOff>
                <xdr:row>0</xdr:row>
                <xdr:rowOff>0</xdr:rowOff>
              </from>
              <to>
                <xdr:col>6</xdr:col>
                <xdr:colOff>419100</xdr:colOff>
                <xdr:row>0</xdr:row>
                <xdr:rowOff>0</xdr:rowOff>
              </to>
            </anchor>
          </controlPr>
        </control>
      </mc:Choice>
      <mc:Fallback>
        <control shapeId="20511" r:id="rId6" name="AnalyzerDynReportDC000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D625D5AFC817F43B70A13841F4B61E5" ma:contentTypeVersion="6" ma:contentTypeDescription="Create a new document." ma:contentTypeScope="" ma:versionID="7537e75a43d446ae9feae0cea0041d8e">
  <xsd:schema xmlns:xsd="http://www.w3.org/2001/XMLSchema" xmlns:xs="http://www.w3.org/2001/XMLSchema" xmlns:p="http://schemas.microsoft.com/office/2006/metadata/properties" xmlns:ns2="1eb24887-1fde-442a-9aac-c01a71b1f9a6" xmlns:ns3="e200dfb4-1223-45d9-b680-8d432d25c61a" targetNamespace="http://schemas.microsoft.com/office/2006/metadata/properties" ma:root="true" ma:fieldsID="8fde222110ade1521a8104c14dfa9d85" ns2:_="" ns3:_="">
    <xsd:import namespace="1eb24887-1fde-442a-9aac-c01a71b1f9a6"/>
    <xsd:import namespace="e200dfb4-1223-45d9-b680-8d432d25c61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eb24887-1fde-442a-9aac-c01a71b1f9a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200dfb4-1223-45d9-b680-8d432d25c61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config xmlns="http://com.sap.sop/sopconfig">
  <ReportType xmlns="">SOP</ReportType>
  <template xmlns="">DP 120 Statistical Forecast</template>
  <favorite xmlns="">DP 120 Statistical Forecast</favorite>
  <bookSettings xmlns="">
    <scenarios>
      <value>__BASELINE</value>
    </scenarios>
    <simulations>
      <value>__PLAN</value>
    </simulations>
    <planningUnits>
      <planningUnit>SPA</planningUnit>
      <planningVersion>__BASELINE</planningVersion>
      <planningScenario>__PLAN</planningScenario>
      <timeRelativeFrom>0</timeRelativeFrom>
      <timeRelativeTo>130</timeRelativeTo>
    </planningUnits>
  </bookSettings>
  <report_Sheet2 xmlns="">
    <settings>
      <time>
        <dimension>PERIODID4</dimension>
        <rolling>true</rolling>
        <realTime>false</realTime>
        <fromAbsolute/>
        <toAbsolute/>
        <fromRelative>-52</fromRelative>
        <toRelative>51</toRelative>
        <fromTimeAbsolute>0001-01-01T00:00:00</fromTimeAbsolute>
        <toTimeAbsolute>0001-01-01T00:00:00</toTimeAbsolute>
        <fromTimeRelativeInDays>0</fromTimeRelativeInDays>
        <toTimeRelativeInDays>41</toTimeRelativeInDays>
      </time>
      <planningLevels>
        <value>PRDID</value>
        <value>LOCID</value>
        <value>CUSTID</value>
      </planningLevels>
      <keyFigures>
        <value>STATISTICALEXPOSTFORECASTQTY</value>
        <value>ADJUSTEDACTUALSQTY</value>
        <value>RESIDUALEXPOSTFCSTACTUALSADJ</value>
        <value>STATISTICALFORECASTQTY</value>
      </keyFigures>
      <conversions>
        <conversion>
          <dimension>CURRTOID</dimension>
          <member>USD</member>
        </conversion>
        <conversion>
          <dimension>UOMTOID</dimension>
          <member>EA</member>
        </conversion>
      </conversions>
      <rowAxis>
        <value>PRDID</value>
        <value>LOCID</value>
        <value>CUSTID</value>
        <value>KEY_FIGURES</value>
      </rowAxis>
      <columnAxis>
        <value>PERIODID4</value>
      </columnAxis>
      <alerts/>
      <dimsDispOptnId>
        <value>LOCID</value>
        <value>CUSTID</value>
        <value>PRDID</value>
      </dimsDispOptnId>
      <dimsDispOptnBoth/>
      <dimsTmpltFltrMandatory>
        <value>ABCID</value>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
          <sortOrder>
            <sortOrderItem>__AZ</sortOrderItem>
          </sortOrder>
          <sortByDimension/>
          <dimensionId>CUSTID</dimensionId>
          <description>Ascending</description>
          <name>A-Z</name>
          <id>-11</id>
        </attributeSorting>
      </attributeSortings>
    </settings>
    <filter>
      <name/>
      <id>0</id>
      <conditions>
        <condition>
          <dimension>ABCID</dimension>
          <operator>EQ</operator>
          <values>
            <value>A</value>
          </values>
          <relations/>
        </condition>
      </conditions>
    </filter>
  </report_Sheet2>
  <report_Sheet4 xmlns="">
    <settings>
      <time>
        <dimension>PERIODID4</dimension>
        <rolling>true</rolling>
        <realTime>false</realTime>
        <fromAbsolute/>
        <toAbsolute/>
        <fromRelative>-52</fromRelative>
        <toRelative>51</toRelative>
        <fromTimeAbsolute>0001-01-01T00:00:00</fromTimeAbsolute>
        <toTimeAbsolute>0001-01-01T00:00:00</toTimeAbsolute>
        <fromTimeRelativeInDays>0</fromTimeRelativeInDays>
        <toTimeRelativeInDays>41</toTimeRelativeInDays>
      </time>
      <planningLevels>
        <value>PRDID</value>
        <value>LOCID</value>
        <value>CUSTID</value>
      </planningLevels>
      <keyFigures>
        <value>ADJUSTEDACTUALSQTY</value>
        <value>CALEVENT</value>
        <value>MARKETINGBUDGET</value>
        <value>EXPOSTEVENTIMPACT</value>
        <value>EXPOSTMARKETINGBUDGETIMPACT</value>
        <value>EXPOSTBASEFCSTQTY</value>
        <value>STATISTICALEXPOSTFORECASTQTY</value>
        <value>EVENTIMPACT</value>
        <value>MARKETINGBUDGETIMPACT</value>
        <value>BASEFCSTQTY</value>
        <value>STATISTICALFORECASTQTY</value>
      </keyFigures>
      <conversions>
        <conversion>
          <dimension>CURRTOID</dimension>
          <member>USD</member>
        </conversion>
        <conversion>
          <dimension>UOMTOID</dimension>
          <member>EA</member>
        </conversion>
      </conversions>
      <rowAxis>
        <value>PRDID</value>
        <value>LOCID</value>
        <value>CUSTID</value>
        <value>KEY_FIGURES</value>
      </rowAxis>
      <columnAxis>
        <value>PERIODID4</value>
      </columnAxis>
      <alerts/>
      <dimsDispOptnId>
        <value>PRDID</value>
        <value>LOCID</value>
        <value>CUSTID</value>
      </dimsDispOptnId>
      <dimsDispOptnBoth/>
      <dimsTmpltFltrMandatory/>
      <dimsTmpltFltrOptional/>
      <alertsOnly>false</alertsOnly>
      <attributeSortings>
        <attributeSorting>
          <sortOrder>
            <sortOrderItem>__AZ</sortOrderItem>
          </sortOrder>
          <sortByDimension/>
          <dimensionId>PRDID</dimensionId>
          <description>Ascending</description>
          <name>A-Z</name>
          <id>-11</id>
        </attributeSorting>
        <attributeSorting>
          <sortOrder>
            <sortOrderItem>__AZ</sortOrderItem>
          </sortOrder>
          <sortByDimension/>
          <dimensionId>LOCID</dimensionId>
          <description>Ascending</description>
          <name>A-Z</name>
          <id>-11</id>
        </attributeSorting>
        <attributeSorting>
          <sortOrder>
            <sortOrderItem>__AZ</sortOrderItem>
          </sortOrder>
          <sortByDimension/>
          <dimensionId>CUSTID</dimensionId>
          <description>Ascending</description>
          <name>A-Z</name>
          <id>-11</id>
        </attributeSorting>
      </attributeSortings>
    </settings>
    <filter>
      <name/>
      <id>0</id>
      <conditions>
        <condition>
          <dimension>CUSTID</dimension>
          <operator>EQ</operator>
          <values>
            <value>0010100001</value>
          </values>
          <relations/>
        </condition>
        <condition>
          <dimension>LOCID</dimension>
          <operator>EQ</operator>
          <values>
            <value>3710</value>
          </values>
          <relations/>
        </condition>
        <condition>
          <dimension>PRDID</dimension>
          <operator>EQ</operator>
          <values>
            <value>IBP-120</value>
          </values>
          <relations/>
        </condition>
      </conditions>
    </filter>
  </report_Sheet4>
</config>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954E801-47D4-4504-9CF9-2C12AB21C27E}"/>
</file>

<file path=customXml/itemProps2.xml><?xml version="1.0" encoding="utf-8"?>
<ds:datastoreItem xmlns:ds="http://schemas.openxmlformats.org/officeDocument/2006/customXml" ds:itemID="{AFA544C1-18F5-4675-9197-232CF8F4762B}"/>
</file>

<file path=customXml/itemProps3.xml><?xml version="1.0" encoding="utf-8"?>
<ds:datastoreItem xmlns:ds="http://schemas.openxmlformats.org/officeDocument/2006/customXml" ds:itemID="{D711AFD2-3B2E-4492-978C-AA2BB55CBE4C}"/>
</file>

<file path=customXml/itemProps4.xml><?xml version="1.0" encoding="utf-8"?>
<ds:datastoreItem xmlns:ds="http://schemas.openxmlformats.org/officeDocument/2006/customXml" ds:itemID="{8F8EB421-E8BB-4583-BBC3-18B0D24E0415}"/>
</file>

<file path=docProps/app.xml><?xml version="1.0" encoding="utf-8"?>
<Properties xmlns="http://schemas.openxmlformats.org/officeDocument/2006/extended-properties" xmlns:vt="http://schemas.openxmlformats.org/officeDocument/2006/docPropsVTypes">
  <Application>Microsoft Excel Online</Application>
  <Manager/>
  <Company>SAP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Wei, Winnie</cp:lastModifiedBy>
  <cp:revision/>
  <dcterms:created xsi:type="dcterms:W3CDTF">2012-11-19T20:56:01Z</dcterms:created>
  <dcterms:modified xsi:type="dcterms:W3CDTF">2022-08-16T07:41:36Z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y fmtid="{D5CDD505-2E9C-101B-9397-08002B2CF9AE}" pid="3" name="ContentTypeId">
    <vt:lpwstr>0x010100CD625D5AFC817F43B70A13841F4B61E5</vt:lpwstr>
  </property>
  <property fmtid="{D5CDD505-2E9C-101B-9397-08002B2CF9AE}" pid="4" name="MediaServiceImageTags">
    <vt:lpwstr/>
  </property>
</Properties>
</file>